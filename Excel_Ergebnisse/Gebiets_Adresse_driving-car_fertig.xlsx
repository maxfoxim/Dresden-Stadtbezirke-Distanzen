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tephan/Documents/GitHub/dresden_distanzen_bezirke/"/>
    </mc:Choice>
  </mc:AlternateContent>
  <xr:revisionPtr revIDLastSave="0" documentId="13_ncr:1_{E300C6DE-1676-9C41-B2F8-9A2AF55A48EA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Tabelle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8" i="2" l="1"/>
  <c r="T44" i="2"/>
  <c r="T14" i="2"/>
  <c r="T41" i="2"/>
  <c r="T35" i="2"/>
  <c r="T32" i="2"/>
  <c r="T48" i="2"/>
  <c r="T19" i="2"/>
  <c r="T26" i="2"/>
  <c r="T22" i="2"/>
  <c r="T61" i="2"/>
  <c r="T16" i="2"/>
  <c r="T18" i="2"/>
  <c r="T33" i="2"/>
  <c r="T50" i="2"/>
  <c r="T23" i="2"/>
  <c r="T7" i="2"/>
  <c r="T68" i="2"/>
  <c r="T21" i="2"/>
  <c r="T2" i="2"/>
  <c r="T15" i="2"/>
  <c r="T72" i="2"/>
  <c r="T28" i="2"/>
  <c r="T47" i="2"/>
  <c r="T65" i="2"/>
  <c r="T56" i="2"/>
  <c r="T11" i="2"/>
  <c r="T13" i="2"/>
  <c r="T77" i="2"/>
  <c r="T27" i="2"/>
  <c r="T3" i="2"/>
  <c r="T29" i="2"/>
  <c r="T12" i="2"/>
  <c r="T45" i="2"/>
  <c r="T62" i="2"/>
  <c r="T8" i="2"/>
  <c r="T4" i="2"/>
  <c r="T6" i="2"/>
  <c r="T9" i="2"/>
  <c r="T102" i="2"/>
  <c r="T5" i="2"/>
  <c r="T79" i="2"/>
  <c r="T58" i="2"/>
  <c r="T10" i="2"/>
  <c r="T31" i="2"/>
  <c r="T89" i="2"/>
  <c r="T20" i="2"/>
  <c r="T76" i="2"/>
  <c r="T30" i="2"/>
  <c r="T24" i="2"/>
  <c r="T69" i="2"/>
  <c r="T107" i="2"/>
  <c r="T17" i="2"/>
  <c r="T25" i="2"/>
  <c r="T73" i="2"/>
  <c r="T127" i="2"/>
  <c r="T94" i="2"/>
  <c r="T95" i="2"/>
  <c r="T116" i="2"/>
  <c r="T96" i="2"/>
  <c r="T64" i="2"/>
  <c r="T54" i="2"/>
  <c r="T55" i="2"/>
  <c r="T99" i="2"/>
  <c r="T51" i="2"/>
  <c r="T153" i="2"/>
  <c r="T40" i="2"/>
  <c r="T122" i="2"/>
  <c r="T154" i="2"/>
  <c r="T104" i="2"/>
  <c r="T34" i="2"/>
  <c r="T53" i="2"/>
  <c r="T42" i="2"/>
  <c r="T36" i="2"/>
  <c r="T84" i="2"/>
  <c r="T142" i="2"/>
  <c r="T49" i="2"/>
  <c r="T149" i="2"/>
  <c r="T80" i="2"/>
  <c r="T37" i="2"/>
  <c r="T118" i="2"/>
  <c r="T90" i="2"/>
  <c r="T39" i="2"/>
  <c r="T150" i="2"/>
  <c r="T43" i="2"/>
  <c r="T140" i="2"/>
  <c r="T98" i="2"/>
  <c r="T120" i="2"/>
  <c r="T74" i="2"/>
  <c r="T119" i="2"/>
  <c r="T172" i="2"/>
  <c r="T52" i="2"/>
  <c r="T46" i="2"/>
  <c r="T125" i="2"/>
  <c r="T70" i="2"/>
  <c r="T85" i="2"/>
  <c r="T81" i="2"/>
  <c r="T66" i="2"/>
  <c r="T97" i="2"/>
  <c r="T57" i="2"/>
  <c r="T129" i="2"/>
  <c r="T86" i="2"/>
  <c r="T60" i="2"/>
  <c r="T175" i="2"/>
  <c r="T78" i="2"/>
  <c r="T147" i="2"/>
  <c r="T67" i="2"/>
  <c r="T160" i="2"/>
  <c r="T71" i="2"/>
  <c r="T63" i="2"/>
  <c r="T155" i="2"/>
  <c r="T156" i="2"/>
  <c r="T100" i="2"/>
  <c r="T162" i="2"/>
  <c r="T161" i="2"/>
  <c r="T114" i="2"/>
  <c r="T91" i="2"/>
  <c r="T87" i="2"/>
  <c r="T113" i="2"/>
  <c r="T163" i="2"/>
  <c r="T92" i="2"/>
  <c r="T75" i="2"/>
  <c r="T59" i="2"/>
  <c r="T108" i="2"/>
  <c r="T143" i="2"/>
  <c r="T135" i="2"/>
  <c r="T82" i="2"/>
  <c r="T146" i="2"/>
  <c r="T126" i="2"/>
  <c r="T133" i="2"/>
  <c r="T145" i="2"/>
  <c r="T93" i="2"/>
  <c r="T167" i="2"/>
  <c r="T168" i="2"/>
  <c r="T111" i="2"/>
  <c r="T123" i="2"/>
  <c r="T178" i="2"/>
  <c r="T83" i="2"/>
  <c r="T131" i="2"/>
  <c r="T130" i="2"/>
  <c r="T88" i="2"/>
  <c r="T170" i="2"/>
  <c r="T101" i="2"/>
  <c r="T184" i="2"/>
  <c r="T124" i="2"/>
  <c r="T105" i="2"/>
  <c r="T106" i="2"/>
  <c r="T185" i="2"/>
  <c r="T103" i="2"/>
  <c r="T115" i="2"/>
  <c r="T112" i="2"/>
  <c r="T171" i="2"/>
  <c r="T179" i="2"/>
  <c r="T117" i="2"/>
  <c r="T136" i="2"/>
  <c r="T109" i="2"/>
  <c r="T121" i="2"/>
  <c r="T110" i="2"/>
  <c r="T137" i="2"/>
  <c r="T182" i="2"/>
  <c r="T132" i="2"/>
  <c r="T186" i="2"/>
  <c r="T190" i="2"/>
  <c r="T164" i="2"/>
  <c r="T176" i="2"/>
  <c r="T159" i="2"/>
  <c r="T207" i="2"/>
  <c r="T148" i="2"/>
  <c r="T196" i="2"/>
  <c r="T134" i="2"/>
  <c r="T195" i="2"/>
  <c r="T210" i="2"/>
  <c r="T151" i="2"/>
  <c r="T128" i="2"/>
  <c r="T144" i="2"/>
  <c r="T203" i="2"/>
  <c r="T138" i="2"/>
  <c r="T139" i="2"/>
  <c r="T191" i="2"/>
  <c r="T141" i="2"/>
  <c r="T152" i="2"/>
  <c r="T194" i="2"/>
  <c r="T204" i="2"/>
  <c r="T217" i="2"/>
  <c r="T209" i="2"/>
  <c r="T157" i="2"/>
  <c r="T202" i="2"/>
  <c r="T169" i="2"/>
  <c r="T174" i="2"/>
  <c r="T158" i="2"/>
  <c r="T215" i="2"/>
  <c r="T200" i="2"/>
  <c r="T165" i="2"/>
  <c r="T192" i="2"/>
  <c r="T211" i="2"/>
  <c r="T216" i="2"/>
  <c r="T166" i="2"/>
  <c r="T173" i="2"/>
  <c r="T177" i="2"/>
  <c r="T208" i="2"/>
  <c r="T212" i="2"/>
  <c r="T183" i="2"/>
  <c r="T218" i="2"/>
  <c r="T220" i="2"/>
  <c r="T201" i="2"/>
  <c r="T199" i="2"/>
  <c r="T189" i="2"/>
  <c r="T226" i="2"/>
  <c r="T205" i="2"/>
  <c r="T227" i="2"/>
  <c r="T187" i="2"/>
  <c r="T197" i="2"/>
  <c r="T180" i="2"/>
  <c r="T229" i="2"/>
  <c r="T188" i="2"/>
  <c r="T181" i="2"/>
  <c r="T233" i="2"/>
  <c r="T225" i="2"/>
  <c r="T234" i="2"/>
  <c r="T213" i="2"/>
  <c r="T235" i="2"/>
  <c r="T198" i="2"/>
  <c r="T239" i="2"/>
  <c r="T230" i="2"/>
  <c r="T240" i="2"/>
  <c r="T222" i="2"/>
  <c r="T219" i="2"/>
  <c r="T193" i="2"/>
  <c r="T214" i="2"/>
  <c r="T244" i="2"/>
  <c r="T221" i="2"/>
  <c r="T223" i="2"/>
  <c r="T224" i="2"/>
  <c r="T206" i="2"/>
  <c r="T232" i="2"/>
  <c r="T241" i="2"/>
  <c r="T257" i="2"/>
  <c r="T262" i="2"/>
  <c r="T264" i="2"/>
  <c r="T265" i="2"/>
  <c r="T263" i="2"/>
  <c r="T237" i="2"/>
  <c r="T238" i="2"/>
  <c r="T242" i="2"/>
  <c r="T243" i="2"/>
  <c r="T228" i="2"/>
  <c r="T272" i="2"/>
  <c r="T273" i="2"/>
  <c r="T245" i="2"/>
  <c r="T279" i="2"/>
  <c r="T274" i="2"/>
  <c r="T231" i="2"/>
  <c r="T249" i="2"/>
  <c r="T277" i="2"/>
  <c r="T236" i="2"/>
  <c r="T254" i="2"/>
  <c r="T251" i="2"/>
  <c r="T280" i="2"/>
  <c r="T246" i="2"/>
  <c r="T247" i="2"/>
  <c r="T256" i="2"/>
  <c r="T259" i="2"/>
  <c r="T270" i="2"/>
  <c r="T250" i="2"/>
  <c r="T260" i="2"/>
  <c r="T269" i="2"/>
  <c r="T258" i="2"/>
  <c r="T252" i="2"/>
  <c r="T253" i="2"/>
  <c r="T271" i="2"/>
  <c r="T266" i="2"/>
  <c r="T268" i="2"/>
  <c r="T248" i="2"/>
  <c r="T282" i="2"/>
  <c r="T255" i="2"/>
  <c r="T261" i="2"/>
  <c r="T278" i="2"/>
  <c r="T267" i="2"/>
  <c r="T287" i="2"/>
  <c r="T275" i="2"/>
  <c r="T276" i="2"/>
  <c r="T289" i="2"/>
  <c r="T286" i="2"/>
  <c r="T284" i="2"/>
  <c r="T288" i="2"/>
  <c r="T285" i="2"/>
  <c r="T290" i="2"/>
  <c r="T281" i="2"/>
  <c r="T283" i="2"/>
  <c r="T291" i="2"/>
  <c r="S220" i="2"/>
  <c r="R220" i="2"/>
  <c r="S69" i="2"/>
  <c r="R69" i="2"/>
  <c r="S173" i="2"/>
  <c r="R173" i="2"/>
  <c r="S183" i="2"/>
  <c r="R183" i="2"/>
  <c r="S46" i="2"/>
  <c r="R46" i="2"/>
  <c r="S211" i="2"/>
  <c r="R211" i="2"/>
  <c r="S233" i="2"/>
  <c r="R233" i="2"/>
  <c r="S109" i="2"/>
  <c r="R109" i="2"/>
  <c r="S221" i="2"/>
  <c r="R221" i="2"/>
  <c r="S42" i="2"/>
  <c r="R42" i="2"/>
  <c r="S209" i="2"/>
  <c r="R209" i="2"/>
  <c r="S217" i="2"/>
  <c r="R217" i="2"/>
  <c r="S253" i="2"/>
  <c r="R253" i="2"/>
  <c r="S238" i="2"/>
  <c r="R238" i="2"/>
  <c r="S237" i="2"/>
  <c r="R237" i="2"/>
  <c r="S243" i="2"/>
  <c r="R243" i="2"/>
  <c r="S291" i="2"/>
  <c r="R291" i="2"/>
  <c r="S103" i="2"/>
  <c r="R103" i="2"/>
  <c r="S277" i="2"/>
  <c r="R277" i="2"/>
  <c r="S251" i="2"/>
  <c r="R251" i="2"/>
  <c r="S244" i="2"/>
  <c r="R244" i="2"/>
  <c r="S225" i="2"/>
  <c r="R225" i="2"/>
  <c r="S290" i="2"/>
  <c r="R290" i="2"/>
  <c r="S288" i="2"/>
  <c r="R288" i="2"/>
  <c r="S49" i="2"/>
  <c r="R49" i="2"/>
  <c r="S59" i="2"/>
  <c r="R59" i="2"/>
  <c r="S36" i="2"/>
  <c r="R36" i="2"/>
  <c r="S17" i="2"/>
  <c r="R17" i="2"/>
  <c r="S160" i="2"/>
  <c r="R160" i="2"/>
  <c r="S164" i="2"/>
  <c r="R164" i="2"/>
  <c r="S232" i="2"/>
  <c r="R232" i="2"/>
  <c r="S276" i="2"/>
  <c r="R276" i="2"/>
  <c r="S256" i="2"/>
  <c r="R256" i="2"/>
  <c r="S228" i="2"/>
  <c r="R228" i="2"/>
  <c r="S181" i="2"/>
  <c r="R181" i="2"/>
  <c r="S136" i="2"/>
  <c r="R136" i="2"/>
  <c r="S151" i="2"/>
  <c r="R151" i="2"/>
  <c r="S248" i="2"/>
  <c r="R248" i="2"/>
  <c r="S81" i="2"/>
  <c r="R81" i="2"/>
  <c r="S30" i="2"/>
  <c r="R30" i="2"/>
  <c r="S91" i="2"/>
  <c r="R91" i="2"/>
  <c r="S157" i="2"/>
  <c r="R157" i="2"/>
  <c r="S188" i="2"/>
  <c r="R188" i="2"/>
  <c r="S74" i="2"/>
  <c r="R74" i="2"/>
  <c r="S55" i="2"/>
  <c r="R55" i="2"/>
  <c r="S83" i="2"/>
  <c r="R83" i="2"/>
  <c r="S100" i="2"/>
  <c r="R100" i="2"/>
  <c r="S75" i="2"/>
  <c r="R75" i="2"/>
  <c r="S132" i="2"/>
  <c r="R132" i="2"/>
  <c r="S60" i="2"/>
  <c r="R60" i="2"/>
  <c r="S54" i="2"/>
  <c r="R54" i="2"/>
  <c r="S241" i="2"/>
  <c r="R241" i="2"/>
  <c r="S222" i="2"/>
  <c r="R222" i="2"/>
  <c r="S219" i="2"/>
  <c r="R219" i="2"/>
  <c r="S283" i="2"/>
  <c r="R283" i="2"/>
  <c r="S210" i="2"/>
  <c r="R210" i="2"/>
  <c r="S203" i="2"/>
  <c r="R203" i="2"/>
  <c r="S141" i="2"/>
  <c r="R141" i="2"/>
  <c r="S275" i="2"/>
  <c r="R275" i="2"/>
  <c r="S269" i="2"/>
  <c r="R269" i="2"/>
  <c r="S247" i="2"/>
  <c r="R247" i="2"/>
  <c r="S260" i="2"/>
  <c r="R260" i="2"/>
  <c r="S267" i="2"/>
  <c r="R267" i="2"/>
  <c r="S252" i="2"/>
  <c r="R252" i="2"/>
  <c r="S224" i="2"/>
  <c r="R224" i="2"/>
  <c r="S258" i="2"/>
  <c r="R258" i="2"/>
  <c r="S278" i="2"/>
  <c r="R278" i="2"/>
  <c r="S266" i="2"/>
  <c r="R266" i="2"/>
  <c r="S249" i="2"/>
  <c r="R249" i="2"/>
  <c r="S270" i="2"/>
  <c r="R270" i="2"/>
  <c r="S223" i="2"/>
  <c r="R223" i="2"/>
  <c r="S268" i="2"/>
  <c r="R268" i="2"/>
  <c r="S254" i="2"/>
  <c r="R254" i="2"/>
  <c r="S261" i="2"/>
  <c r="R261" i="2"/>
  <c r="S271" i="2"/>
  <c r="R271" i="2"/>
  <c r="S286" i="2"/>
  <c r="R286" i="2"/>
  <c r="S29" i="2"/>
  <c r="R29" i="2"/>
  <c r="S15" i="2"/>
  <c r="R15" i="2"/>
  <c r="S38" i="2"/>
  <c r="R38" i="2"/>
  <c r="S26" i="2"/>
  <c r="R26" i="2"/>
  <c r="S16" i="2"/>
  <c r="R16" i="2"/>
  <c r="S73" i="2"/>
  <c r="R73" i="2"/>
  <c r="S48" i="2"/>
  <c r="R48" i="2"/>
  <c r="S7" i="2"/>
  <c r="R7" i="2"/>
  <c r="S179" i="2"/>
  <c r="R179" i="2"/>
  <c r="S11" i="2"/>
  <c r="R11" i="2"/>
  <c r="S47" i="2"/>
  <c r="R47" i="2"/>
  <c r="S3" i="2"/>
  <c r="R3" i="2"/>
  <c r="S21" i="2"/>
  <c r="R21" i="2"/>
  <c r="S23" i="2"/>
  <c r="R23" i="2"/>
  <c r="S27" i="2"/>
  <c r="R27" i="2"/>
  <c r="S41" i="2"/>
  <c r="R41" i="2"/>
  <c r="S94" i="2"/>
  <c r="R94" i="2"/>
  <c r="S96" i="2"/>
  <c r="R96" i="2"/>
  <c r="S104" i="2"/>
  <c r="R104" i="2"/>
  <c r="S19" i="2"/>
  <c r="R19" i="2"/>
  <c r="S154" i="2"/>
  <c r="R154" i="2"/>
  <c r="S107" i="2"/>
  <c r="R107" i="2"/>
  <c r="S76" i="2"/>
  <c r="R76" i="2"/>
  <c r="S64" i="2"/>
  <c r="R64" i="2"/>
  <c r="S66" i="2"/>
  <c r="R66" i="2"/>
  <c r="S89" i="2"/>
  <c r="R89" i="2"/>
  <c r="S72" i="2"/>
  <c r="R72" i="2"/>
  <c r="S111" i="2"/>
  <c r="R111" i="2"/>
  <c r="S56" i="2"/>
  <c r="R56" i="2"/>
  <c r="S9" i="2"/>
  <c r="R9" i="2"/>
  <c r="S231" i="2"/>
  <c r="R231" i="2"/>
  <c r="S102" i="2"/>
  <c r="R102" i="2"/>
  <c r="S77" i="2"/>
  <c r="R77" i="2"/>
  <c r="S68" i="2"/>
  <c r="R68" i="2"/>
  <c r="S153" i="2"/>
  <c r="R153" i="2"/>
  <c r="S168" i="2"/>
  <c r="R168" i="2"/>
  <c r="S202" i="2"/>
  <c r="R202" i="2"/>
  <c r="S195" i="2"/>
  <c r="R195" i="2"/>
  <c r="S127" i="2"/>
  <c r="R127" i="2"/>
  <c r="S116" i="2"/>
  <c r="R116" i="2"/>
  <c r="S118" i="2"/>
  <c r="R118" i="2"/>
  <c r="S110" i="2"/>
  <c r="R110" i="2"/>
  <c r="S171" i="2"/>
  <c r="R171" i="2"/>
  <c r="S191" i="2"/>
  <c r="R191" i="2"/>
  <c r="S156" i="2"/>
  <c r="R156" i="2"/>
  <c r="S172" i="2"/>
  <c r="R172" i="2"/>
  <c r="S184" i="2"/>
  <c r="R184" i="2"/>
  <c r="S175" i="2"/>
  <c r="R175" i="2"/>
  <c r="S51" i="2"/>
  <c r="R51" i="2"/>
  <c r="S10" i="2"/>
  <c r="R10" i="2"/>
  <c r="S167" i="2"/>
  <c r="R167" i="2"/>
  <c r="S92" i="2"/>
  <c r="R92" i="2"/>
  <c r="S158" i="2"/>
  <c r="R158" i="2"/>
  <c r="S285" i="2"/>
  <c r="R285" i="2"/>
  <c r="S62" i="2"/>
  <c r="R62" i="2"/>
  <c r="S214" i="2"/>
  <c r="R214" i="2"/>
  <c r="S134" i="2"/>
  <c r="R134" i="2"/>
  <c r="S245" i="2"/>
  <c r="R245" i="2"/>
  <c r="S250" i="2"/>
  <c r="R250" i="2"/>
  <c r="S197" i="2"/>
  <c r="R197" i="2"/>
  <c r="S182" i="2"/>
  <c r="R182" i="2"/>
  <c r="S18" i="2"/>
  <c r="R18" i="2"/>
  <c r="S86" i="2"/>
  <c r="R86" i="2"/>
  <c r="S284" i="2"/>
  <c r="R284" i="2"/>
  <c r="S4" i="2"/>
  <c r="R4" i="2"/>
  <c r="S99" i="2"/>
  <c r="R99" i="2"/>
  <c r="S198" i="2"/>
  <c r="R198" i="2"/>
  <c r="S255" i="2"/>
  <c r="R255" i="2"/>
  <c r="S144" i="2"/>
  <c r="R144" i="2"/>
  <c r="S112" i="2"/>
  <c r="R112" i="2"/>
  <c r="S82" i="2"/>
  <c r="R82" i="2"/>
  <c r="S176" i="2"/>
  <c r="R176" i="2"/>
  <c r="S121" i="2"/>
  <c r="R121" i="2"/>
  <c r="S272" i="2"/>
  <c r="R272" i="2"/>
  <c r="S106" i="2"/>
  <c r="R106" i="2"/>
  <c r="S93" i="2"/>
  <c r="R93" i="2"/>
  <c r="S199" i="2"/>
  <c r="R199" i="2"/>
  <c r="S262" i="2"/>
  <c r="R262" i="2"/>
  <c r="S273" i="2"/>
  <c r="R273" i="2"/>
  <c r="S265" i="2"/>
  <c r="R265" i="2"/>
  <c r="S264" i="2"/>
  <c r="R264" i="2"/>
  <c r="S279" i="2"/>
  <c r="R279" i="2"/>
  <c r="S235" i="2"/>
  <c r="R235" i="2"/>
  <c r="S53" i="2"/>
  <c r="R53" i="2"/>
  <c r="S240" i="2"/>
  <c r="R240" i="2"/>
  <c r="S227" i="2"/>
  <c r="R227" i="2"/>
  <c r="S205" i="2"/>
  <c r="R205" i="2"/>
  <c r="S201" i="2"/>
  <c r="R201" i="2"/>
  <c r="S259" i="2"/>
  <c r="R259" i="2"/>
  <c r="S124" i="2"/>
  <c r="R124" i="2"/>
  <c r="S135" i="2"/>
  <c r="R135" i="2"/>
  <c r="S142" i="2"/>
  <c r="R142" i="2"/>
  <c r="S287" i="2"/>
  <c r="R287" i="2"/>
  <c r="S25" i="2"/>
  <c r="R25" i="2"/>
  <c r="S24" i="2"/>
  <c r="R24" i="2"/>
  <c r="S289" i="2"/>
  <c r="R289" i="2"/>
  <c r="S230" i="2"/>
  <c r="R230" i="2"/>
  <c r="S43" i="2"/>
  <c r="R43" i="2"/>
  <c r="S139" i="2"/>
  <c r="R139" i="2"/>
  <c r="S50" i="2"/>
  <c r="R50" i="2"/>
  <c r="S122" i="2"/>
  <c r="R122" i="2"/>
  <c r="S193" i="2"/>
  <c r="R193" i="2"/>
  <c r="S119" i="2"/>
  <c r="R119" i="2"/>
  <c r="S120" i="2"/>
  <c r="R120" i="2"/>
  <c r="S114" i="2"/>
  <c r="R114" i="2"/>
  <c r="S58" i="2"/>
  <c r="R58" i="2"/>
  <c r="S40" i="2"/>
  <c r="R40" i="2"/>
  <c r="S206" i="2"/>
  <c r="R206" i="2"/>
  <c r="S113" i="2"/>
  <c r="R113" i="2"/>
  <c r="S187" i="2"/>
  <c r="R187" i="2"/>
  <c r="S61" i="2"/>
  <c r="R61" i="2"/>
  <c r="S242" i="2"/>
  <c r="R242" i="2"/>
  <c r="S226" i="2"/>
  <c r="R226" i="2"/>
  <c r="S257" i="2"/>
  <c r="R257" i="2"/>
  <c r="S44" i="2"/>
  <c r="R44" i="2"/>
  <c r="S85" i="2"/>
  <c r="R85" i="2"/>
  <c r="S138" i="2"/>
  <c r="R138" i="2"/>
  <c r="S143" i="2"/>
  <c r="R143" i="2"/>
  <c r="S128" i="2"/>
  <c r="R128" i="2"/>
  <c r="S236" i="2"/>
  <c r="R236" i="2"/>
  <c r="S150" i="2"/>
  <c r="R150" i="2"/>
  <c r="S196" i="2"/>
  <c r="R196" i="2"/>
  <c r="S282" i="2"/>
  <c r="R282" i="2"/>
  <c r="S263" i="2"/>
  <c r="R263" i="2"/>
  <c r="S190" i="2"/>
  <c r="R190" i="2"/>
  <c r="S246" i="2"/>
  <c r="R246" i="2"/>
  <c r="S229" i="2"/>
  <c r="R229" i="2"/>
  <c r="S280" i="2"/>
  <c r="R280" i="2"/>
  <c r="S274" i="2"/>
  <c r="R274" i="2"/>
  <c r="S8" i="2"/>
  <c r="R8" i="2"/>
  <c r="S5" i="2"/>
  <c r="R5" i="2"/>
  <c r="S161" i="2"/>
  <c r="R161" i="2"/>
  <c r="S200" i="2"/>
  <c r="R200" i="2"/>
  <c r="S178" i="2"/>
  <c r="R178" i="2"/>
  <c r="S155" i="2"/>
  <c r="R155" i="2"/>
  <c r="S194" i="2"/>
  <c r="R194" i="2"/>
  <c r="S186" i="2"/>
  <c r="R186" i="2"/>
  <c r="S212" i="2"/>
  <c r="R212" i="2"/>
  <c r="S208" i="2"/>
  <c r="R208" i="2"/>
  <c r="S52" i="2"/>
  <c r="R52" i="2"/>
  <c r="S6" i="2"/>
  <c r="R6" i="2"/>
  <c r="S2" i="2"/>
  <c r="R2" i="2"/>
  <c r="S28" i="2"/>
  <c r="R28" i="2"/>
  <c r="S13" i="2"/>
  <c r="R13" i="2"/>
  <c r="S31" i="2"/>
  <c r="R31" i="2"/>
  <c r="S45" i="2"/>
  <c r="R45" i="2"/>
  <c r="S12" i="2"/>
  <c r="R12" i="2"/>
  <c r="S22" i="2"/>
  <c r="R22" i="2"/>
  <c r="S35" i="2"/>
  <c r="R35" i="2"/>
  <c r="S213" i="2"/>
  <c r="R213" i="2"/>
  <c r="S166" i="2"/>
  <c r="R166" i="2"/>
  <c r="S39" i="2"/>
  <c r="R39" i="2"/>
  <c r="S20" i="2"/>
  <c r="R20" i="2"/>
  <c r="S34" i="2"/>
  <c r="R34" i="2"/>
  <c r="S148" i="2"/>
  <c r="R148" i="2"/>
  <c r="S165" i="2"/>
  <c r="R165" i="2"/>
  <c r="S152" i="2"/>
  <c r="R152" i="2"/>
  <c r="S177" i="2"/>
  <c r="R177" i="2"/>
  <c r="S105" i="2"/>
  <c r="R105" i="2"/>
  <c r="S63" i="2"/>
  <c r="R63" i="2"/>
  <c r="S117" i="2"/>
  <c r="R117" i="2"/>
  <c r="S101" i="2"/>
  <c r="R101" i="2"/>
  <c r="S115" i="2"/>
  <c r="R115" i="2"/>
  <c r="S67" i="2"/>
  <c r="R67" i="2"/>
  <c r="S57" i="2"/>
  <c r="R57" i="2"/>
  <c r="S133" i="2"/>
  <c r="R133" i="2"/>
  <c r="S87" i="2"/>
  <c r="R87" i="2"/>
  <c r="S70" i="2"/>
  <c r="R70" i="2"/>
  <c r="S123" i="2"/>
  <c r="R123" i="2"/>
  <c r="S145" i="2"/>
  <c r="R145" i="2"/>
  <c r="S98" i="2"/>
  <c r="R98" i="2"/>
  <c r="S163" i="2"/>
  <c r="R163" i="2"/>
  <c r="S125" i="2"/>
  <c r="R125" i="2"/>
  <c r="S140" i="2"/>
  <c r="R140" i="2"/>
  <c r="S149" i="2"/>
  <c r="R149" i="2"/>
  <c r="S192" i="2"/>
  <c r="R192" i="2"/>
  <c r="S204" i="2"/>
  <c r="R204" i="2"/>
  <c r="S239" i="2"/>
  <c r="R239" i="2"/>
  <c r="S215" i="2"/>
  <c r="R215" i="2"/>
  <c r="S216" i="2"/>
  <c r="R216" i="2"/>
  <c r="S218" i="2"/>
  <c r="R218" i="2"/>
  <c r="S234" i="2"/>
  <c r="R234" i="2"/>
  <c r="S33" i="2"/>
  <c r="R33" i="2"/>
  <c r="S37" i="2"/>
  <c r="R37" i="2"/>
  <c r="S207" i="2"/>
  <c r="R207" i="2"/>
  <c r="S162" i="2"/>
  <c r="R162" i="2"/>
  <c r="S14" i="2"/>
  <c r="R14" i="2"/>
  <c r="S32" i="2"/>
  <c r="R32" i="2"/>
  <c r="S189" i="2"/>
  <c r="R189" i="2"/>
  <c r="S174" i="2"/>
  <c r="R174" i="2"/>
  <c r="S169" i="2"/>
  <c r="R169" i="2"/>
  <c r="S170" i="2"/>
  <c r="R170" i="2"/>
  <c r="S131" i="2"/>
  <c r="R131" i="2"/>
  <c r="S71" i="2"/>
  <c r="R71" i="2"/>
  <c r="S88" i="2"/>
  <c r="R88" i="2"/>
  <c r="S185" i="2"/>
  <c r="R185" i="2"/>
  <c r="S137" i="2"/>
  <c r="R137" i="2"/>
  <c r="S130" i="2"/>
  <c r="R130" i="2"/>
  <c r="S65" i="2"/>
  <c r="R65" i="2"/>
  <c r="S79" i="2"/>
  <c r="R79" i="2"/>
  <c r="S80" i="2"/>
  <c r="R80" i="2"/>
  <c r="S95" i="2"/>
  <c r="R95" i="2"/>
  <c r="S281" i="2"/>
  <c r="R281" i="2"/>
  <c r="S180" i="2"/>
  <c r="R180" i="2"/>
  <c r="S84" i="2"/>
  <c r="R84" i="2"/>
  <c r="S147" i="2"/>
  <c r="R147" i="2"/>
  <c r="S146" i="2"/>
  <c r="R146" i="2"/>
  <c r="S108" i="2"/>
  <c r="R108" i="2"/>
  <c r="S90" i="2"/>
  <c r="R90" i="2"/>
  <c r="S97" i="2"/>
  <c r="R97" i="2"/>
  <c r="S126" i="2"/>
  <c r="R126" i="2"/>
  <c r="S78" i="2"/>
  <c r="R78" i="2"/>
  <c r="S159" i="2"/>
  <c r="R159" i="2"/>
  <c r="S129" i="2"/>
  <c r="R129" i="2"/>
</calcChain>
</file>

<file path=xl/sharedStrings.xml><?xml version="1.0" encoding="utf-8"?>
<sst xmlns="http://schemas.openxmlformats.org/spreadsheetml/2006/main" count="600" uniqueCount="336">
  <si>
    <t>Name</t>
  </si>
  <si>
    <t>Lat</t>
  </si>
  <si>
    <t>Long</t>
  </si>
  <si>
    <t>Gemeinde</t>
  </si>
  <si>
    <t>Zu_Hause_Distanz</t>
  </si>
  <si>
    <t>Zu_Hause_Dauer</t>
  </si>
  <si>
    <t>Robotron_Distanz</t>
  </si>
  <si>
    <t>Robotron_Dauer</t>
  </si>
  <si>
    <t>Schule_Distanz</t>
  </si>
  <si>
    <t>Schule_Dauer</t>
  </si>
  <si>
    <t>Kletterarena_Distanz</t>
  </si>
  <si>
    <t>Kletterarena_Dauer</t>
  </si>
  <si>
    <t>Großeltern_Distanz</t>
  </si>
  <si>
    <t>Großeltern_Dauer</t>
  </si>
  <si>
    <t>Dresden Zentrum_Distanz</t>
  </si>
  <si>
    <t>Dresden Zentrum_Dauer</t>
  </si>
  <si>
    <t>Podemus</t>
  </si>
  <si>
    <t>Dresden,Sachsen,Bundesrepublik Deutschland,Europe</t>
  </si>
  <si>
    <t>Weißig</t>
  </si>
  <si>
    <t>-</t>
  </si>
  <si>
    <t>Kesselsdorf</t>
  </si>
  <si>
    <t>Steinbach</t>
  </si>
  <si>
    <t>Gorbitz,Dresden,Sachsen,Bundesrepublik Deutschland,Europe</t>
  </si>
  <si>
    <t>Pennrich</t>
  </si>
  <si>
    <t>Gompitz</t>
  </si>
  <si>
    <t>Dresden,Dresden,Dresden,Sachsen,Bundesrepublik Deutschland,Europe</t>
  </si>
  <si>
    <t>Unkersdorf</t>
  </si>
  <si>
    <t>Rennersdorf</t>
  </si>
  <si>
    <t>Brabschütz</t>
  </si>
  <si>
    <t>Pesterwitz</t>
  </si>
  <si>
    <t>Paulsdorf</t>
  </si>
  <si>
    <t>Bad Schandau</t>
  </si>
  <si>
    <t>Gorbitz</t>
  </si>
  <si>
    <t>Altfranken</t>
  </si>
  <si>
    <t>Cotta</t>
  </si>
  <si>
    <t>Friedrichstadt</t>
  </si>
  <si>
    <t>Wilsdruff</t>
  </si>
  <si>
    <t>Grumbach</t>
  </si>
  <si>
    <t>Ottendorf-Okrilla</t>
  </si>
  <si>
    <t>Kamenz,Dresden,Sachsen,Bundesrepublik Deutschland,Europe</t>
  </si>
  <si>
    <t>Pirna</t>
  </si>
  <si>
    <t>Wünschendorf</t>
  </si>
  <si>
    <t>Dürrröhrsdorf-Dittersbach</t>
  </si>
  <si>
    <t>Eschdorf</t>
  </si>
  <si>
    <t>Dresden,Dresden,Sachsen,Bundesrepublik Deutschland,Europe</t>
  </si>
  <si>
    <t>Rossendorf</t>
  </si>
  <si>
    <t>Kleinopitz</t>
  </si>
  <si>
    <t>Großopitz</t>
  </si>
  <si>
    <t>Tharandt</t>
  </si>
  <si>
    <t>Südvorstadt</t>
  </si>
  <si>
    <t>Strehlen</t>
  </si>
  <si>
    <t>Wilschdorf</t>
  </si>
  <si>
    <t>Langebrück</t>
  </si>
  <si>
    <t>Bärenklause</t>
  </si>
  <si>
    <t>Kreischa</t>
  </si>
  <si>
    <t>Plauen</t>
  </si>
  <si>
    <t>Friedersdorf</t>
  </si>
  <si>
    <t>Pulsnitz</t>
  </si>
  <si>
    <t>Kleinröhrsdorf</t>
  </si>
  <si>
    <t>Großröhrsdorf</t>
  </si>
  <si>
    <t>Schönborn</t>
  </si>
  <si>
    <t>Kleindittmannsdorf</t>
  </si>
  <si>
    <t>Lichtenberg</t>
  </si>
  <si>
    <t>Wallroda</t>
  </si>
  <si>
    <t>Arnsdorf</t>
  </si>
  <si>
    <t>Fischbach</t>
  </si>
  <si>
    <t>Gönnsdorf</t>
  </si>
  <si>
    <t>Cunnersdorf</t>
  </si>
  <si>
    <t>Pappritz</t>
  </si>
  <si>
    <t>Helfenberg</t>
  </si>
  <si>
    <t>Rockau</t>
  </si>
  <si>
    <t>Malschendorf</t>
  </si>
  <si>
    <t>Borsberg</t>
  </si>
  <si>
    <t>Zaschendorf</t>
  </si>
  <si>
    <t>Schullwitz</t>
  </si>
  <si>
    <t>Pratzschwitz</t>
  </si>
  <si>
    <t>Bonnewitz</t>
  </si>
  <si>
    <t>Jessen</t>
  </si>
  <si>
    <t>Liebethal</t>
  </si>
  <si>
    <t>Zatzschke</t>
  </si>
  <si>
    <t>Copitz</t>
  </si>
  <si>
    <t>Mockethal</t>
  </si>
  <si>
    <t>Daube</t>
  </si>
  <si>
    <t>Lohmen</t>
  </si>
  <si>
    <t>Dorf Wehlen</t>
  </si>
  <si>
    <t>Stadt Wehlen</t>
  </si>
  <si>
    <t>Ebenheit</t>
  </si>
  <si>
    <t>Struppen</t>
  </si>
  <si>
    <t>Elbersdorf</t>
  </si>
  <si>
    <t>Wölkau</t>
  </si>
  <si>
    <t>Heidenau</t>
  </si>
  <si>
    <t>Bosewitz</t>
  </si>
  <si>
    <t>Dohna</t>
  </si>
  <si>
    <t>Kautzsch</t>
  </si>
  <si>
    <t>Siedlung Waldfrieden</t>
  </si>
  <si>
    <t>Rabenau,Sächsische Schweiz-Osterzgebirge,Dresden,Sachsen,Bundesrepublik Deutschland,Europe</t>
  </si>
  <si>
    <t>Stolpen</t>
  </si>
  <si>
    <t>Striesen</t>
  </si>
  <si>
    <t>Gruna</t>
  </si>
  <si>
    <t>Leuben</t>
  </si>
  <si>
    <t>Tolkewitz</t>
  </si>
  <si>
    <t>Laubegast</t>
  </si>
  <si>
    <t>Dobritz</t>
  </si>
  <si>
    <t>Seidnitz</t>
  </si>
  <si>
    <t>Prohlis</t>
  </si>
  <si>
    <t>Niedersedlitz</t>
  </si>
  <si>
    <t>Zschieren</t>
  </si>
  <si>
    <t>Zitzschewig</t>
  </si>
  <si>
    <t>Radebeul</t>
  </si>
  <si>
    <t>Naundorf</t>
  </si>
  <si>
    <t>Kötzschenbroda</t>
  </si>
  <si>
    <t>Niederlößnitz</t>
  </si>
  <si>
    <t>Serkowitz</t>
  </si>
  <si>
    <t>Oberlößnitz</t>
  </si>
  <si>
    <t>Lindenau</t>
  </si>
  <si>
    <t>Lockwitz</t>
  </si>
  <si>
    <t>Nickern</t>
  </si>
  <si>
    <t>Königsbrück</t>
  </si>
  <si>
    <t>Reichenbach</t>
  </si>
  <si>
    <t>Haselbachtal</t>
  </si>
  <si>
    <t>Mittelbach</t>
  </si>
  <si>
    <t>Großnaundorf</t>
  </si>
  <si>
    <t>Hohnstein</t>
  </si>
  <si>
    <t>Radeburg</t>
  </si>
  <si>
    <t>Neusörnewitz</t>
  </si>
  <si>
    <t>Coswig</t>
  </si>
  <si>
    <t>Weßnitz</t>
  </si>
  <si>
    <t>Großenhain</t>
  </si>
  <si>
    <t>Weixdorf</t>
  </si>
  <si>
    <t>Trachau</t>
  </si>
  <si>
    <t>Liebstadt</t>
  </si>
  <si>
    <t>Sächsische Schweiz-Osterzgebirge,Dresden,Sachsen,Bundesrepublik Deutschland,Europe</t>
  </si>
  <si>
    <t>Schönfeld</t>
  </si>
  <si>
    <t>Bad Gottleuba-Berggießhübel</t>
  </si>
  <si>
    <t>Freital</t>
  </si>
  <si>
    <t>Johannstadt</t>
  </si>
  <si>
    <t>Elstra</t>
  </si>
  <si>
    <t>Bautzen,Dresden,Sachsen,Bundesrepublik Deutschland,Europe</t>
  </si>
  <si>
    <t>Meißen</t>
  </si>
  <si>
    <t>Innere Altstadt</t>
  </si>
  <si>
    <t>Zöllmen</t>
  </si>
  <si>
    <t>Striesen,Dresden,Sachsen,Bundesrepublik Deutschland,Europe</t>
  </si>
  <si>
    <t>Königstein</t>
  </si>
  <si>
    <t>Naußlitz</t>
  </si>
  <si>
    <t>Roitzsch</t>
  </si>
  <si>
    <t>Stetzsch</t>
  </si>
  <si>
    <t>Ockerwitz</t>
  </si>
  <si>
    <t>Glashütte</t>
  </si>
  <si>
    <t>Briesnitz</t>
  </si>
  <si>
    <t>Blasewitz</t>
  </si>
  <si>
    <t>Rabenau</t>
  </si>
  <si>
    <t>Kamenz - Kamjenc</t>
  </si>
  <si>
    <t>Sporbitz</t>
  </si>
  <si>
    <t>Meußlitz</t>
  </si>
  <si>
    <t>Häslich</t>
  </si>
  <si>
    <t>Rochwitz</t>
  </si>
  <si>
    <t>Eichbusch</t>
  </si>
  <si>
    <t>Reitzendorf</t>
  </si>
  <si>
    <t>Großdrebnitz</t>
  </si>
  <si>
    <t>Schmiedefeld</t>
  </si>
  <si>
    <t>Seeligstadt</t>
  </si>
  <si>
    <t>Großharthau</t>
  </si>
  <si>
    <t>Bretnig</t>
  </si>
  <si>
    <t>Bretnig-Hauswalde</t>
  </si>
  <si>
    <t>Hauswalde</t>
  </si>
  <si>
    <t>Pillnitz</t>
  </si>
  <si>
    <t>Gickelsberg</t>
  </si>
  <si>
    <t>Ohorn</t>
  </si>
  <si>
    <t>Möhrsdorf</t>
  </si>
  <si>
    <t>Talpenberg</t>
  </si>
  <si>
    <t>Rehnsdorf</t>
  </si>
  <si>
    <t>Elstra,Bautzen,Dresden,Sachsen,Bundesrepublik Deutschland,Europe</t>
  </si>
  <si>
    <t>Bischheim</t>
  </si>
  <si>
    <t>Weißbach</t>
  </si>
  <si>
    <t>Steina</t>
  </si>
  <si>
    <t>Rennersdorf-Neudörfel</t>
  </si>
  <si>
    <t>Birkwitz</t>
  </si>
  <si>
    <t>Hinterjessen</t>
  </si>
  <si>
    <t>Wohla</t>
  </si>
  <si>
    <t>Doberzeit</t>
  </si>
  <si>
    <t>Söbrigen</t>
  </si>
  <si>
    <t>Posta</t>
  </si>
  <si>
    <t>Mühlsdorf</t>
  </si>
  <si>
    <t>Ehrenberg</t>
  </si>
  <si>
    <t>Stürza</t>
  </si>
  <si>
    <t>Kemnitz</t>
  </si>
  <si>
    <t>Großluga</t>
  </si>
  <si>
    <t>Winkwitz</t>
  </si>
  <si>
    <t>Meißen,Dresden,Sachsen,Bundesrepublik Deutschland,Europe</t>
  </si>
  <si>
    <t>Wurgwitz</t>
  </si>
  <si>
    <t>Kaitz</t>
  </si>
  <si>
    <t>Wahnsdorf</t>
  </si>
  <si>
    <t>Radebeul,Sachsen,Bundesrepublik Deutschland,Europe</t>
  </si>
  <si>
    <t>Helmsdorf</t>
  </si>
  <si>
    <t>Buschbad</t>
  </si>
  <si>
    <t>Sonnenstein</t>
  </si>
  <si>
    <t>Heeselicht</t>
  </si>
  <si>
    <t>Löbtau</t>
  </si>
  <si>
    <t>Rottewitz</t>
  </si>
  <si>
    <t>Niederhermsdorf</t>
  </si>
  <si>
    <t>Cossebaude</t>
  </si>
  <si>
    <t>Kleinluga</t>
  </si>
  <si>
    <t>Hosterwitz</t>
  </si>
  <si>
    <t>Hellerau</t>
  </si>
  <si>
    <t>Klotzsche</t>
  </si>
  <si>
    <t>Trachenberge</t>
  </si>
  <si>
    <t>Mobschatz</t>
  </si>
  <si>
    <t>Niederwartha</t>
  </si>
  <si>
    <t>Oberwartha</t>
  </si>
  <si>
    <t>Cossebaude,Dresden,Dresden,Sachsen,Bundesrepublik Deutschland,Europe</t>
  </si>
  <si>
    <t>Berggießhübel</t>
  </si>
  <si>
    <t>Bad Gottleuba-Berggießhübel,Sächsische Schweiz-Osterzgebirge,Dresden,Sachsen,Bundesrepublik Deutschland,Europe</t>
  </si>
  <si>
    <t>Kaditz</t>
  </si>
  <si>
    <t>Übigau</t>
  </si>
  <si>
    <t>Mickten</t>
  </si>
  <si>
    <t>Ottendorf-Okrilla,Bautzen,Dresden,Sachsen,Bundesrepublik Deutschland,Europe</t>
  </si>
  <si>
    <t>Hufen</t>
  </si>
  <si>
    <t>Medingen,Ottendorf-Okrilla,Bautzen,Dresden,Sachsen,Bundesrepublik Deutschland,Europe</t>
  </si>
  <si>
    <t>Obergohlis</t>
  </si>
  <si>
    <t>Pieschen</t>
  </si>
  <si>
    <t>Innere Neustadt</t>
  </si>
  <si>
    <t>Äußere Neustadt</t>
  </si>
  <si>
    <t>Leipziger Vorstadt</t>
  </si>
  <si>
    <t>Strand</t>
  </si>
  <si>
    <t>Großzschachwitz</t>
  </si>
  <si>
    <t>Loschwitz</t>
  </si>
  <si>
    <t>Krieschendorf</t>
  </si>
  <si>
    <t>Radeberger Vorstadt</t>
  </si>
  <si>
    <t>Weißer Hirsch</t>
  </si>
  <si>
    <t>Oberpoyritz</t>
  </si>
  <si>
    <t>Niederpoyritz</t>
  </si>
  <si>
    <t>Wachwitz</t>
  </si>
  <si>
    <t>Bühlau</t>
  </si>
  <si>
    <t>Albertstadt</t>
  </si>
  <si>
    <t>Zschertnitz</t>
  </si>
  <si>
    <t>Omsewitz</t>
  </si>
  <si>
    <t>Leutewitz</t>
  </si>
  <si>
    <t>Wölfnitz</t>
  </si>
  <si>
    <t>Seevorstadt</t>
  </si>
  <si>
    <t>Gostritz</t>
  </si>
  <si>
    <t>Kleinpestitz</t>
  </si>
  <si>
    <t>Coschütz</t>
  </si>
  <si>
    <t>Kauscha</t>
  </si>
  <si>
    <t>Neugruna</t>
  </si>
  <si>
    <t>Torna</t>
  </si>
  <si>
    <t>Niedergohlis</t>
  </si>
  <si>
    <t>Reick</t>
  </si>
  <si>
    <t>Wilsdruffer Vorstadt</t>
  </si>
  <si>
    <t>Roßthal</t>
  </si>
  <si>
    <t>Mockritz</t>
  </si>
  <si>
    <t>Räcknitz</t>
  </si>
  <si>
    <t>Pirnaische Vorstadt</t>
  </si>
  <si>
    <t>Leubnitz-Neuostra</t>
  </si>
  <si>
    <t>Gittersee</t>
  </si>
  <si>
    <t>Proschwitz</t>
  </si>
  <si>
    <t>Korbitz</t>
  </si>
  <si>
    <t>Vorbrücke</t>
  </si>
  <si>
    <t>Zscheila</t>
  </si>
  <si>
    <t>Siebeneichen</t>
  </si>
  <si>
    <t>Bohnitzsch</t>
  </si>
  <si>
    <t>Niederfähre</t>
  </si>
  <si>
    <t>Obermeisa</t>
  </si>
  <si>
    <t>Niederspaar</t>
  </si>
  <si>
    <t>Klostergasse</t>
  </si>
  <si>
    <t>Lercha</t>
  </si>
  <si>
    <t>Questenberg</t>
  </si>
  <si>
    <t>Altstadt</t>
  </si>
  <si>
    <t>Cölln</t>
  </si>
  <si>
    <t>Triebischtal</t>
  </si>
  <si>
    <t>Oberspaar</t>
  </si>
  <si>
    <t>Klosterhäuser</t>
  </si>
  <si>
    <t>Bad Gottleuba</t>
  </si>
  <si>
    <t>Feldschlößchen</t>
  </si>
  <si>
    <t>Radeberg</t>
  </si>
  <si>
    <t>Prossen</t>
  </si>
  <si>
    <t>Lauterbach</t>
  </si>
  <si>
    <t>Stolpen,Sachsen,Bundesrepublik Deutschland,Europe</t>
  </si>
  <si>
    <t>Großharthau,Sachsen,Bundesrepublik Deutschland,Europe</t>
  </si>
  <si>
    <t>Goldbach</t>
  </si>
  <si>
    <t>Bischofswerda,Sachsen,Bundesrepublik Deutschland,Europe</t>
  </si>
  <si>
    <t>Birkigt</t>
  </si>
  <si>
    <t>Niederhäslich</t>
  </si>
  <si>
    <t>Hainsberg</t>
  </si>
  <si>
    <t>Deuben</t>
  </si>
  <si>
    <t>Zauckerode</t>
  </si>
  <si>
    <t>Schweinsdorf</t>
  </si>
  <si>
    <t>Burgk</t>
  </si>
  <si>
    <t>Potschappel</t>
  </si>
  <si>
    <t>Somsdorf</t>
  </si>
  <si>
    <t>Coßmannsdorf</t>
  </si>
  <si>
    <t>Döhlen</t>
  </si>
  <si>
    <t>Kleinzschachwitz</t>
  </si>
  <si>
    <t>Kohlsdorf</t>
  </si>
  <si>
    <t>Freital,Sachsen,Bundesrepublik Deutschland,Europe</t>
  </si>
  <si>
    <t>Sachsenbergsiedlung</t>
  </si>
  <si>
    <t>Braunsdorf</t>
  </si>
  <si>
    <t>Oberhermsdorf</t>
  </si>
  <si>
    <t>Dippoldiswalde</t>
  </si>
  <si>
    <t>Waltersdorf</t>
  </si>
  <si>
    <t>Fischergasse</t>
  </si>
  <si>
    <t>Klostergut</t>
  </si>
  <si>
    <t>Neudörfchen</t>
  </si>
  <si>
    <t>Saalhausen</t>
  </si>
  <si>
    <t>Rähnitz</t>
  </si>
  <si>
    <t>Gommern</t>
  </si>
  <si>
    <t>Mügeln</t>
  </si>
  <si>
    <t>Kleinsedlitz</t>
  </si>
  <si>
    <t>Zehista</t>
  </si>
  <si>
    <t>Mülbitz</t>
  </si>
  <si>
    <t>Zschieschen</t>
  </si>
  <si>
    <t>Kötitz</t>
  </si>
  <si>
    <t>Neucoswig</t>
  </si>
  <si>
    <t>Niedermeisa</t>
  </si>
  <si>
    <t>Stenz</t>
  </si>
  <si>
    <t>Rottwerndorf</t>
  </si>
  <si>
    <t>Löbsal</t>
  </si>
  <si>
    <t>Triebischvorstadt</t>
  </si>
  <si>
    <t>Görnische Vorstadt</t>
  </si>
  <si>
    <t>Rauenthal</t>
  </si>
  <si>
    <t>Kynastsiedlung</t>
  </si>
  <si>
    <t>Lotzdorf</t>
  </si>
  <si>
    <t>Stadtrandsiedlung</t>
  </si>
  <si>
    <t>Ploschwitzer Höhe</t>
  </si>
  <si>
    <t>Plossen</t>
  </si>
  <si>
    <t>Neundorf</t>
  </si>
  <si>
    <t>Vollung</t>
  </si>
  <si>
    <t>Meißner Seite</t>
  </si>
  <si>
    <t>Heidenau-Süd</t>
  </si>
  <si>
    <t>Dobra</t>
  </si>
  <si>
    <t>Augustusberg</t>
  </si>
  <si>
    <t>Dölzschen</t>
  </si>
  <si>
    <t>Röderhäuser</t>
  </si>
  <si>
    <t>Spalte1</t>
  </si>
  <si>
    <t>Summe Distanz</t>
  </si>
  <si>
    <t>Summe Zeiten</t>
  </si>
  <si>
    <t>Gewichtet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</si>
</sst>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2" fillId="2" borderId="2" xfId="0" applyFont="1" applyFill="1" applyBorder="1" applyAlignment="1">
      <alignment vertical="top" textRotation="45"/>
    </xf>
    <xf numFmtId="0" fontId="1" fillId="2" borderId="1" xfId="0" applyFont="1" applyFill="1" applyBorder="1" applyAlignment="1">
      <alignment horizontal="center" vertical="top" textRotation="45"/>
    </xf>
    <xf numFmtId="0" fontId="1" fillId="2" borderId="5" xfId="0" applyFont="1" applyFill="1" applyBorder="1" applyAlignment="1">
      <alignment horizontal="center" vertical="top" textRotation="45"/>
    </xf>
    <xf numFmtId="0" fontId="0" fillId="0" borderId="0" xfId="0" applyFont="1" applyBorder="1"/>
    <xf numFmtId="0" fontId="1" fillId="2" borderId="6" xfId="0" applyFont="1" applyFill="1" applyBorder="1" applyAlignment="1">
      <alignment horizontal="center" vertical="top" textRotation="45"/>
    </xf>
  </cellXfs>
  <cellStyles count="1">
    <cellStyle name="Standard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34022C-7624-BB4D-A3BC-333913CE4BBD}" name="Tabelle2" displayName="Tabelle2" ref="A1:T291" totalsRowShown="0" headerRowDxfId="21" dataDxfId="20">
  <autoFilter ref="A1:T291" xr:uid="{4134022C-7624-BB4D-A3BC-333913CE4BBD}"/>
  <sortState xmlns:xlrd2="http://schemas.microsoft.com/office/spreadsheetml/2017/richdata2" ref="A2:T291">
    <sortCondition ref="T1:T291"/>
  </sortState>
  <tableColumns count="20">
    <tableColumn id="1" xr3:uid="{DE1B383C-9300-D943-9D2F-4C32E04772D9}" name="Spalte1" dataDxfId="19"/>
    <tableColumn id="2" xr3:uid="{AD6A6095-615A-1D43-8FD1-0D7F1ABD7323}" name="Name" dataDxfId="18"/>
    <tableColumn id="3" xr3:uid="{8BEFADFC-C8B4-8944-93AE-6450F01DE157}" name="Lat" dataDxfId="17"/>
    <tableColumn id="4" xr3:uid="{4D7631C2-9C8F-294A-ACA5-D1ACE37BCA9B}" name="Long" dataDxfId="16"/>
    <tableColumn id="5" xr3:uid="{B424842F-1155-D148-A273-A16FC4887A60}" name="Gemeinde" dataDxfId="15"/>
    <tableColumn id="6" xr3:uid="{9846E215-2A48-A144-B69E-CB5E9D8373DE}" name="Zu_Hause_Distanz" dataDxfId="14"/>
    <tableColumn id="7" xr3:uid="{4A663C1A-2843-654B-B268-AD19ED83AC39}" name="Zu_Hause_Dauer" dataDxfId="13"/>
    <tableColumn id="8" xr3:uid="{A9995974-C61C-B04F-BE3C-17A7A13E5123}" name="Robotron_Distanz" dataDxfId="12"/>
    <tableColumn id="9" xr3:uid="{61047FD0-1253-D147-B2FC-F5DAAC308522}" name="Robotron_Dauer" dataDxfId="11"/>
    <tableColumn id="10" xr3:uid="{7E9BCD4E-9D88-0544-802F-E326985C36DA}" name="Schule_Distanz" dataDxfId="10"/>
    <tableColumn id="11" xr3:uid="{186CC900-12EE-3244-987C-BA5B5ADB0BB5}" name="Schule_Dauer" dataDxfId="9"/>
    <tableColumn id="12" xr3:uid="{5D054088-DBEE-E241-8D1E-A582E0F6D577}" name="Kletterarena_Distanz" dataDxfId="8"/>
    <tableColumn id="13" xr3:uid="{AE336CB9-5183-CC4E-A36E-95AC20E3F995}" name="Kletterarena_Dauer" dataDxfId="7"/>
    <tableColumn id="14" xr3:uid="{1031623B-F394-F44B-ADAD-92C04252574B}" name="Großeltern_Distanz" dataDxfId="6"/>
    <tableColumn id="15" xr3:uid="{D9F8185E-4925-3846-B1B9-26ADB15EE326}" name="Großeltern_Dauer" dataDxfId="5"/>
    <tableColumn id="16" xr3:uid="{B34000AA-9320-5B47-8BC7-C94C078397D3}" name="Dresden Zentrum_Distanz" dataDxfId="4"/>
    <tableColumn id="17" xr3:uid="{075DD61D-24C1-764F-9FC9-B9229DDAFA95}" name="Dresden Zentrum_Dauer" dataDxfId="3"/>
    <tableColumn id="18" xr3:uid="{6A488524-3F55-3848-BD6A-00D80134DB8C}" name="Summe Distanz" dataDxfId="2">
      <calculatedColumnFormula>SUM(F2,H2,J2,L2,N2,P2)</calculatedColumnFormula>
    </tableColumn>
    <tableColumn id="19" xr3:uid="{D8F70B9A-FF16-2C47-BEBC-DFB202282523}" name="Summe Zeiten" dataDxfId="1">
      <calculatedColumnFormula>SUM(G2,I2,K2,M2,O2,Q2)</calculatedColumnFormula>
    </tableColumn>
    <tableColumn id="20" xr3:uid="{587A4C98-1C82-2244-8F26-BAB97347D900}" name="Gewichtet" dataDxfId="0">
      <calculatedColumnFormula>Tabelle2[[#This Row],[Robotron_Dauer]]*2+Tabelle2[[#This Row],[Schule_Dauer]]*5+Tabelle2[[#This Row],[Kletterarena_Dauer]]+Tabelle2[[#This Row],[Großeltern_Dauer]]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615A-5F94-A545-826E-43DF76381593}">
  <dimension ref="A1:T291"/>
  <sheetViews>
    <sheetView tabSelected="1" zoomScale="125" workbookViewId="0">
      <selection activeCell="D10" sqref="D10"/>
    </sheetView>
  </sheetViews>
  <sheetFormatPr baseColWidth="10" defaultRowHeight="15" x14ac:dyDescent="0.2"/>
  <cols>
    <col min="1" max="1" width="7.1640625" bestFit="1" customWidth="1"/>
    <col min="2" max="2" width="23.6640625" bestFit="1" customWidth="1"/>
    <col min="3" max="4" width="11.1640625" bestFit="1" customWidth="1"/>
    <col min="5" max="5" width="11.83203125" customWidth="1"/>
    <col min="6" max="6" width="8.83203125" customWidth="1"/>
    <col min="7" max="19" width="9.6640625" bestFit="1" customWidth="1"/>
  </cols>
  <sheetData>
    <row r="1" spans="1:20" ht="98" x14ac:dyDescent="0.2">
      <c r="A1" s="4" t="s">
        <v>332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6" t="s">
        <v>333</v>
      </c>
      <c r="S1" s="6" t="s">
        <v>334</v>
      </c>
      <c r="T1" s="8" t="s">
        <v>335</v>
      </c>
    </row>
    <row r="2" spans="1:20" x14ac:dyDescent="0.2">
      <c r="A2" s="1">
        <v>72</v>
      </c>
      <c r="B2" s="2" t="s">
        <v>104</v>
      </c>
      <c r="C2" s="2">
        <v>51.006653800000002</v>
      </c>
      <c r="D2" s="2">
        <v>13.793062600000001</v>
      </c>
      <c r="E2" s="2" t="s">
        <v>44</v>
      </c>
      <c r="F2" s="2">
        <v>8.9600000000000009</v>
      </c>
      <c r="G2" s="2">
        <v>17</v>
      </c>
      <c r="H2" s="2">
        <v>9.93</v>
      </c>
      <c r="I2" s="2">
        <v>13</v>
      </c>
      <c r="J2" s="2">
        <v>2.34</v>
      </c>
      <c r="K2" s="2">
        <v>4</v>
      </c>
      <c r="L2" s="2">
        <v>8.2899999999999991</v>
      </c>
      <c r="M2" s="2">
        <v>16</v>
      </c>
      <c r="N2" s="2">
        <v>14.6</v>
      </c>
      <c r="O2" s="2">
        <v>29</v>
      </c>
      <c r="P2" s="2">
        <v>7.48</v>
      </c>
      <c r="Q2" s="2">
        <v>15</v>
      </c>
      <c r="R2" s="2">
        <f>SUM(F2,H2,J2,L2,N2,P2)</f>
        <v>51.599999999999994</v>
      </c>
      <c r="S2" s="3">
        <f>SUM(G2,I2,K2,M2,O2,Q2)</f>
        <v>94</v>
      </c>
      <c r="T2" s="7">
        <f>Tabelle2[[#This Row],[Robotron_Dauer]]*2+Tabelle2[[#This Row],[Schule_Dauer]]*5+Tabelle2[[#This Row],[Kletterarena_Dauer]]+Tabelle2[[#This Row],[Großeltern_Dauer]]</f>
        <v>91</v>
      </c>
    </row>
    <row r="3" spans="1:20" x14ac:dyDescent="0.2">
      <c r="A3" s="1">
        <v>203</v>
      </c>
      <c r="B3" s="2" t="s">
        <v>242</v>
      </c>
      <c r="C3" s="2">
        <v>50.992940900000001</v>
      </c>
      <c r="D3" s="2">
        <v>13.777925099999999</v>
      </c>
      <c r="E3" s="2" t="s">
        <v>19</v>
      </c>
      <c r="F3" s="2">
        <v>10.79</v>
      </c>
      <c r="G3" s="2">
        <v>20</v>
      </c>
      <c r="H3" s="2">
        <v>8.23</v>
      </c>
      <c r="I3" s="2">
        <v>11</v>
      </c>
      <c r="J3" s="2">
        <v>2.96</v>
      </c>
      <c r="K3" s="2">
        <v>5</v>
      </c>
      <c r="L3" s="2">
        <v>10.56</v>
      </c>
      <c r="M3" s="2">
        <v>17</v>
      </c>
      <c r="N3" s="2">
        <v>16.43</v>
      </c>
      <c r="O3" s="2">
        <v>31</v>
      </c>
      <c r="P3" s="2">
        <v>9.32</v>
      </c>
      <c r="Q3" s="2">
        <v>18</v>
      </c>
      <c r="R3" s="2">
        <f>SUM(F3,H3,J3,L3,N3,P3)</f>
        <v>58.29</v>
      </c>
      <c r="S3" s="3">
        <f>SUM(G3,I3,K3,M3,O3,Q3)</f>
        <v>102</v>
      </c>
      <c r="T3" s="7">
        <f>Tabelle2[[#This Row],[Robotron_Dauer]]*2+Tabelle2[[#This Row],[Schule_Dauer]]*5+Tabelle2[[#This Row],[Kletterarena_Dauer]]+Tabelle2[[#This Row],[Großeltern_Dauer]]</f>
        <v>95</v>
      </c>
    </row>
    <row r="4" spans="1:20" x14ac:dyDescent="0.2">
      <c r="A4" s="1">
        <v>149</v>
      </c>
      <c r="B4" s="2" t="s">
        <v>186</v>
      </c>
      <c r="C4" s="2">
        <v>50.986711499999998</v>
      </c>
      <c r="D4" s="2">
        <v>13.8304426</v>
      </c>
      <c r="E4" s="2" t="s">
        <v>17</v>
      </c>
      <c r="F4" s="2">
        <v>16.84</v>
      </c>
      <c r="G4" s="2">
        <v>23</v>
      </c>
      <c r="H4" s="2">
        <v>11.9</v>
      </c>
      <c r="I4" s="2">
        <v>11</v>
      </c>
      <c r="J4" s="2">
        <v>2.77</v>
      </c>
      <c r="K4" s="2">
        <v>5</v>
      </c>
      <c r="L4" s="2">
        <v>14.22</v>
      </c>
      <c r="M4" s="2">
        <v>18</v>
      </c>
      <c r="N4" s="2">
        <v>15.21</v>
      </c>
      <c r="O4" s="2">
        <v>30</v>
      </c>
      <c r="P4" s="2">
        <v>15.38</v>
      </c>
      <c r="Q4" s="2">
        <v>20</v>
      </c>
      <c r="R4" s="2">
        <f>SUM(F4,H4,J4,L4,N4,P4)</f>
        <v>76.320000000000007</v>
      </c>
      <c r="S4" s="3">
        <f>SUM(G4,I4,K4,M4,O4,Q4)</f>
        <v>107</v>
      </c>
      <c r="T4" s="7">
        <f>Tabelle2[[#This Row],[Robotron_Dauer]]*2+Tabelle2[[#This Row],[Schule_Dauer]]*5+Tabelle2[[#This Row],[Kletterarena_Dauer]]+Tabelle2[[#This Row],[Großeltern_Dauer]]</f>
        <v>95</v>
      </c>
    </row>
    <row r="5" spans="1:20" x14ac:dyDescent="0.2">
      <c r="A5" s="1">
        <v>83</v>
      </c>
      <c r="B5" s="2" t="s">
        <v>115</v>
      </c>
      <c r="C5" s="2">
        <v>50.987280599999998</v>
      </c>
      <c r="D5" s="2">
        <v>13.8062434</v>
      </c>
      <c r="E5" s="2" t="s">
        <v>19</v>
      </c>
      <c r="F5" s="2">
        <v>11.51</v>
      </c>
      <c r="G5" s="2">
        <v>22</v>
      </c>
      <c r="H5" s="2">
        <v>11.69</v>
      </c>
      <c r="I5" s="2">
        <v>12</v>
      </c>
      <c r="J5" s="2">
        <v>1.67</v>
      </c>
      <c r="K5" s="2">
        <v>4</v>
      </c>
      <c r="L5" s="2">
        <v>14.01</v>
      </c>
      <c r="M5" s="2">
        <v>18</v>
      </c>
      <c r="N5" s="2">
        <v>17.149999999999999</v>
      </c>
      <c r="O5" s="2">
        <v>34</v>
      </c>
      <c r="P5" s="2">
        <v>10.039999999999999</v>
      </c>
      <c r="Q5" s="2">
        <v>20</v>
      </c>
      <c r="R5" s="2">
        <f>SUM(F5,H5,J5,L5,N5,P5)</f>
        <v>66.069999999999993</v>
      </c>
      <c r="S5" s="3">
        <f>SUM(G5,I5,K5,M5,O5,Q5)</f>
        <v>110</v>
      </c>
      <c r="T5" s="7">
        <f>Tabelle2[[#This Row],[Robotron_Dauer]]*2+Tabelle2[[#This Row],[Schule_Dauer]]*5+Tabelle2[[#This Row],[Kletterarena_Dauer]]+Tabelle2[[#This Row],[Großeltern_Dauer]]</f>
        <v>96</v>
      </c>
    </row>
    <row r="6" spans="1:20" x14ac:dyDescent="0.2">
      <c r="A6" s="1">
        <v>73</v>
      </c>
      <c r="B6" s="2" t="s">
        <v>105</v>
      </c>
      <c r="C6" s="2">
        <v>50.997526800000003</v>
      </c>
      <c r="D6" s="2">
        <v>13.821468400000001</v>
      </c>
      <c r="E6" s="2" t="s">
        <v>17</v>
      </c>
      <c r="F6" s="2">
        <v>10.46</v>
      </c>
      <c r="G6" s="2">
        <v>21</v>
      </c>
      <c r="H6" s="2">
        <v>13.73</v>
      </c>
      <c r="I6" s="2">
        <v>15</v>
      </c>
      <c r="J6" s="2">
        <v>1.59</v>
      </c>
      <c r="K6" s="2">
        <v>4</v>
      </c>
      <c r="L6" s="2">
        <v>10.57</v>
      </c>
      <c r="M6" s="2">
        <v>21</v>
      </c>
      <c r="N6" s="2">
        <v>14.11</v>
      </c>
      <c r="O6" s="2">
        <v>28</v>
      </c>
      <c r="P6" s="2">
        <v>9.82</v>
      </c>
      <c r="Q6" s="2">
        <v>19</v>
      </c>
      <c r="R6" s="2">
        <f>SUM(F6,H6,J6,L6,N6,P6)</f>
        <v>60.28</v>
      </c>
      <c r="S6" s="3">
        <f>SUM(G6,I6,K6,M6,O6,Q6)</f>
        <v>108</v>
      </c>
      <c r="T6" s="7">
        <f>Tabelle2[[#This Row],[Robotron_Dauer]]*2+Tabelle2[[#This Row],[Schule_Dauer]]*5+Tabelle2[[#This Row],[Kletterarena_Dauer]]+Tabelle2[[#This Row],[Großeltern_Dauer]]</f>
        <v>99</v>
      </c>
    </row>
    <row r="7" spans="1:20" x14ac:dyDescent="0.2">
      <c r="A7" s="1">
        <v>207</v>
      </c>
      <c r="B7" s="2" t="s">
        <v>246</v>
      </c>
      <c r="C7" s="2">
        <v>51.0133206</v>
      </c>
      <c r="D7" s="2">
        <v>13.793945300000001</v>
      </c>
      <c r="E7" s="2" t="s">
        <v>44</v>
      </c>
      <c r="F7" s="2">
        <v>7.65</v>
      </c>
      <c r="G7" s="2">
        <v>15</v>
      </c>
      <c r="H7" s="2">
        <v>10.95</v>
      </c>
      <c r="I7" s="2">
        <v>15</v>
      </c>
      <c r="J7" s="2">
        <v>3.36</v>
      </c>
      <c r="K7" s="2">
        <v>6</v>
      </c>
      <c r="L7" s="2">
        <v>7.76</v>
      </c>
      <c r="M7" s="2">
        <v>15</v>
      </c>
      <c r="N7" s="2">
        <v>13.29</v>
      </c>
      <c r="O7" s="2">
        <v>26</v>
      </c>
      <c r="P7" s="2">
        <v>7</v>
      </c>
      <c r="Q7" s="2">
        <v>13</v>
      </c>
      <c r="R7" s="2">
        <f>SUM(F7,H7,J7,L7,N7,P7)</f>
        <v>50.01</v>
      </c>
      <c r="S7" s="3">
        <f>SUM(G7,I7,K7,M7,O7,Q7)</f>
        <v>90</v>
      </c>
      <c r="T7" s="7">
        <f>Tabelle2[[#This Row],[Robotron_Dauer]]*2+Tabelle2[[#This Row],[Schule_Dauer]]*5+Tabelle2[[#This Row],[Kletterarena_Dauer]]+Tabelle2[[#This Row],[Großeltern_Dauer]]</f>
        <v>101</v>
      </c>
    </row>
    <row r="8" spans="1:20" x14ac:dyDescent="0.2">
      <c r="A8" s="1">
        <v>84</v>
      </c>
      <c r="B8" s="2" t="s">
        <v>116</v>
      </c>
      <c r="C8" s="2">
        <v>50.994235600000003</v>
      </c>
      <c r="D8" s="2">
        <v>13.7874795</v>
      </c>
      <c r="E8" s="2" t="s">
        <v>19</v>
      </c>
      <c r="F8" s="2">
        <v>10.15</v>
      </c>
      <c r="G8" s="2">
        <v>20</v>
      </c>
      <c r="H8" s="2">
        <v>9.14</v>
      </c>
      <c r="I8" s="2">
        <v>13</v>
      </c>
      <c r="J8" s="2">
        <v>2.3199999999999998</v>
      </c>
      <c r="K8" s="2">
        <v>5</v>
      </c>
      <c r="L8" s="2">
        <v>9.5</v>
      </c>
      <c r="M8" s="2">
        <v>19</v>
      </c>
      <c r="N8" s="2">
        <v>15.8</v>
      </c>
      <c r="O8" s="2">
        <v>31</v>
      </c>
      <c r="P8" s="2">
        <v>8.69</v>
      </c>
      <c r="Q8" s="2">
        <v>18</v>
      </c>
      <c r="R8" s="2">
        <f>SUM(F8,H8,J8,L8,N8,P8)</f>
        <v>55.599999999999994</v>
      </c>
      <c r="S8" s="3">
        <f>SUM(G8,I8,K8,M8,O8,Q8)</f>
        <v>106</v>
      </c>
      <c r="T8" s="7">
        <f>Tabelle2[[#This Row],[Robotron_Dauer]]*2+Tabelle2[[#This Row],[Schule_Dauer]]*5+Tabelle2[[#This Row],[Kletterarena_Dauer]]+Tabelle2[[#This Row],[Großeltern_Dauer]]</f>
        <v>101</v>
      </c>
    </row>
    <row r="9" spans="1:20" x14ac:dyDescent="0.2">
      <c r="A9" s="1">
        <v>184</v>
      </c>
      <c r="B9" s="2" t="s">
        <v>224</v>
      </c>
      <c r="C9" s="2">
        <v>51.0015845</v>
      </c>
      <c r="D9" s="2">
        <v>13.839116600000001</v>
      </c>
      <c r="E9" s="2" t="s">
        <v>17</v>
      </c>
      <c r="F9" s="2">
        <v>10.64</v>
      </c>
      <c r="G9" s="2">
        <v>21</v>
      </c>
      <c r="H9" s="2">
        <v>14.35</v>
      </c>
      <c r="I9" s="2">
        <v>16</v>
      </c>
      <c r="J9" s="2">
        <v>3.44</v>
      </c>
      <c r="K9" s="2">
        <v>5</v>
      </c>
      <c r="L9" s="2">
        <v>11.66</v>
      </c>
      <c r="M9" s="2">
        <v>22</v>
      </c>
      <c r="N9" s="2">
        <v>12.76</v>
      </c>
      <c r="O9" s="2">
        <v>25</v>
      </c>
      <c r="P9" s="2">
        <v>9.99</v>
      </c>
      <c r="Q9" s="2">
        <v>19</v>
      </c>
      <c r="R9" s="2">
        <f>SUM(F9,H9,J9,L9,N9,P9)</f>
        <v>62.84</v>
      </c>
      <c r="S9" s="3">
        <f>SUM(G9,I9,K9,M9,O9,Q9)</f>
        <v>108</v>
      </c>
      <c r="T9" s="7">
        <f>Tabelle2[[#This Row],[Robotron_Dauer]]*2+Tabelle2[[#This Row],[Schule_Dauer]]*5+Tabelle2[[#This Row],[Kletterarena_Dauer]]+Tabelle2[[#This Row],[Großeltern_Dauer]]</f>
        <v>104</v>
      </c>
    </row>
    <row r="10" spans="1:20" x14ac:dyDescent="0.2">
      <c r="A10" s="1">
        <v>164</v>
      </c>
      <c r="B10" s="2" t="s">
        <v>201</v>
      </c>
      <c r="C10" s="2">
        <v>50.9827084</v>
      </c>
      <c r="D10" s="2">
        <v>13.8303387</v>
      </c>
      <c r="E10" s="2" t="s">
        <v>17</v>
      </c>
      <c r="F10" s="2">
        <v>17.149999999999999</v>
      </c>
      <c r="G10" s="2">
        <v>24</v>
      </c>
      <c r="H10" s="2">
        <v>12.21</v>
      </c>
      <c r="I10" s="2">
        <v>12</v>
      </c>
      <c r="J10" s="2">
        <v>3.08</v>
      </c>
      <c r="K10" s="2">
        <v>6</v>
      </c>
      <c r="L10" s="2">
        <v>14.53</v>
      </c>
      <c r="M10" s="2">
        <v>19</v>
      </c>
      <c r="N10" s="2">
        <v>15.81</v>
      </c>
      <c r="O10" s="2">
        <v>31</v>
      </c>
      <c r="P10" s="2">
        <v>15.69</v>
      </c>
      <c r="Q10" s="2">
        <v>21</v>
      </c>
      <c r="R10" s="2">
        <f>SUM(F10,H10,J10,L10,N10,P10)</f>
        <v>78.47</v>
      </c>
      <c r="S10" s="3">
        <f>SUM(G10,I10,K10,M10,O10,Q10)</f>
        <v>113</v>
      </c>
      <c r="T10" s="7">
        <f>Tabelle2[[#This Row],[Robotron_Dauer]]*2+Tabelle2[[#This Row],[Schule_Dauer]]*5+Tabelle2[[#This Row],[Kletterarena_Dauer]]+Tabelle2[[#This Row],[Großeltern_Dauer]]</f>
        <v>104</v>
      </c>
    </row>
    <row r="11" spans="1:20" x14ac:dyDescent="0.2">
      <c r="A11" s="1">
        <v>205</v>
      </c>
      <c r="B11" s="2" t="s">
        <v>244</v>
      </c>
      <c r="C11" s="2">
        <v>51.007275</v>
      </c>
      <c r="D11" s="2">
        <v>13.7780781</v>
      </c>
      <c r="E11" s="2" t="s">
        <v>44</v>
      </c>
      <c r="F11" s="2">
        <v>8.5299999999999994</v>
      </c>
      <c r="G11" s="2">
        <v>17</v>
      </c>
      <c r="H11" s="2">
        <v>10.54</v>
      </c>
      <c r="I11" s="2">
        <v>15</v>
      </c>
      <c r="J11" s="2">
        <v>2.95</v>
      </c>
      <c r="K11" s="2">
        <v>6</v>
      </c>
      <c r="L11" s="2">
        <v>7.87</v>
      </c>
      <c r="M11" s="2">
        <v>16</v>
      </c>
      <c r="N11" s="2">
        <v>14.17</v>
      </c>
      <c r="O11" s="2">
        <v>29</v>
      </c>
      <c r="P11" s="2">
        <v>7.06</v>
      </c>
      <c r="Q11" s="2">
        <v>15</v>
      </c>
      <c r="R11" s="2">
        <f>SUM(F11,H11,J11,L11,N11,P11)</f>
        <v>51.120000000000005</v>
      </c>
      <c r="S11" s="3">
        <f>SUM(G11,I11,K11,M11,O11,Q11)</f>
        <v>98</v>
      </c>
      <c r="T11" s="7">
        <f>Tabelle2[[#This Row],[Robotron_Dauer]]*2+Tabelle2[[#This Row],[Schule_Dauer]]*5+Tabelle2[[#This Row],[Kletterarena_Dauer]]+Tabelle2[[#This Row],[Großeltern_Dauer]]</f>
        <v>105</v>
      </c>
    </row>
    <row r="12" spans="1:20" x14ac:dyDescent="0.2">
      <c r="A12" s="1">
        <v>67</v>
      </c>
      <c r="B12" s="2" t="s">
        <v>99</v>
      </c>
      <c r="C12" s="2">
        <v>51.010633400000003</v>
      </c>
      <c r="D12" s="2">
        <v>13.8270795</v>
      </c>
      <c r="E12" s="2" t="s">
        <v>19</v>
      </c>
      <c r="F12" s="2">
        <v>8.83</v>
      </c>
      <c r="G12" s="2">
        <v>18</v>
      </c>
      <c r="H12" s="2">
        <v>11.9</v>
      </c>
      <c r="I12" s="2">
        <v>17</v>
      </c>
      <c r="J12" s="2">
        <v>3.08</v>
      </c>
      <c r="K12" s="2">
        <v>5</v>
      </c>
      <c r="L12" s="2">
        <v>10.56</v>
      </c>
      <c r="M12" s="2">
        <v>21</v>
      </c>
      <c r="N12" s="2">
        <v>13.37</v>
      </c>
      <c r="O12" s="2">
        <v>26</v>
      </c>
      <c r="P12" s="2">
        <v>8.19</v>
      </c>
      <c r="Q12" s="2">
        <v>16</v>
      </c>
      <c r="R12" s="2">
        <f>SUM(F12,H12,J12,L12,N12,P12)</f>
        <v>55.93</v>
      </c>
      <c r="S12" s="3">
        <f>SUM(G12,I12,K12,M12,O12,Q12)</f>
        <v>103</v>
      </c>
      <c r="T12" s="7">
        <f>Tabelle2[[#This Row],[Robotron_Dauer]]*2+Tabelle2[[#This Row],[Schule_Dauer]]*5+Tabelle2[[#This Row],[Kletterarena_Dauer]]+Tabelle2[[#This Row],[Großeltern_Dauer]]</f>
        <v>106</v>
      </c>
    </row>
    <row r="13" spans="1:20" x14ac:dyDescent="0.2">
      <c r="A13" s="1">
        <v>70</v>
      </c>
      <c r="B13" s="2" t="s">
        <v>102</v>
      </c>
      <c r="C13" s="2">
        <v>51.015627799999997</v>
      </c>
      <c r="D13" s="2">
        <v>13.811801000000001</v>
      </c>
      <c r="E13" s="2" t="s">
        <v>44</v>
      </c>
      <c r="F13" s="2">
        <v>7.94</v>
      </c>
      <c r="G13" s="2">
        <v>17</v>
      </c>
      <c r="H13" s="2">
        <v>10.81</v>
      </c>
      <c r="I13" s="2">
        <v>16</v>
      </c>
      <c r="J13" s="2">
        <v>3.54</v>
      </c>
      <c r="K13" s="2">
        <v>6</v>
      </c>
      <c r="L13" s="2">
        <v>9.34</v>
      </c>
      <c r="M13" s="2">
        <v>18</v>
      </c>
      <c r="N13" s="2">
        <v>12.51</v>
      </c>
      <c r="O13" s="2">
        <v>27</v>
      </c>
      <c r="P13" s="2">
        <v>7.29</v>
      </c>
      <c r="Q13" s="2">
        <v>15</v>
      </c>
      <c r="R13" s="2">
        <f>SUM(F13,H13,J13,L13,N13,P13)</f>
        <v>51.43</v>
      </c>
      <c r="S13" s="3">
        <f>SUM(G13,I13,K13,M13,O13,Q13)</f>
        <v>99</v>
      </c>
      <c r="T13" s="7">
        <f>Tabelle2[[#This Row],[Robotron_Dauer]]*2+Tabelle2[[#This Row],[Schule_Dauer]]*5+Tabelle2[[#This Row],[Kletterarena_Dauer]]+Tabelle2[[#This Row],[Großeltern_Dauer]]</f>
        <v>107</v>
      </c>
    </row>
    <row r="14" spans="1:20" x14ac:dyDescent="0.2">
      <c r="A14" s="1">
        <v>27</v>
      </c>
      <c r="B14" s="2" t="s">
        <v>50</v>
      </c>
      <c r="C14" s="2">
        <v>51.027284799999997</v>
      </c>
      <c r="D14" s="2">
        <v>13.7622097</v>
      </c>
      <c r="E14" s="2" t="s">
        <v>17</v>
      </c>
      <c r="F14" s="2">
        <v>5.07</v>
      </c>
      <c r="G14" s="2">
        <v>11</v>
      </c>
      <c r="H14" s="2">
        <v>5.36</v>
      </c>
      <c r="I14" s="2">
        <v>11</v>
      </c>
      <c r="J14" s="2">
        <v>5.72</v>
      </c>
      <c r="K14" s="2">
        <v>10</v>
      </c>
      <c r="L14" s="2">
        <v>4.8899999999999997</v>
      </c>
      <c r="M14" s="2">
        <v>10</v>
      </c>
      <c r="N14" s="2">
        <v>12.44</v>
      </c>
      <c r="O14" s="2">
        <v>26</v>
      </c>
      <c r="P14" s="2">
        <v>4.08</v>
      </c>
      <c r="Q14" s="2">
        <v>9</v>
      </c>
      <c r="R14" s="2">
        <f>SUM(F14,H14,J14,L14,N14,P14)</f>
        <v>37.559999999999995</v>
      </c>
      <c r="S14" s="3">
        <f>SUM(G14,I14,K14,M14,O14,Q14)</f>
        <v>77</v>
      </c>
      <c r="T14" s="7">
        <f>Tabelle2[[#This Row],[Robotron_Dauer]]*2+Tabelle2[[#This Row],[Schule_Dauer]]*5+Tabelle2[[#This Row],[Kletterarena_Dauer]]+Tabelle2[[#This Row],[Großeltern_Dauer]]</f>
        <v>108</v>
      </c>
    </row>
    <row r="15" spans="1:20" x14ac:dyDescent="0.2">
      <c r="A15" s="1">
        <v>213</v>
      </c>
      <c r="B15" s="2" t="s">
        <v>252</v>
      </c>
      <c r="C15" s="2">
        <v>51.0117209</v>
      </c>
      <c r="D15" s="2">
        <v>13.765636300000001</v>
      </c>
      <c r="E15" s="2" t="s">
        <v>44</v>
      </c>
      <c r="F15" s="2">
        <v>6.96</v>
      </c>
      <c r="G15" s="2">
        <v>16</v>
      </c>
      <c r="H15" s="2">
        <v>5.78</v>
      </c>
      <c r="I15" s="2">
        <v>12</v>
      </c>
      <c r="J15" s="2">
        <v>4.3899999999999997</v>
      </c>
      <c r="K15" s="2">
        <v>9</v>
      </c>
      <c r="L15" s="2">
        <v>6.78</v>
      </c>
      <c r="M15" s="2">
        <v>15</v>
      </c>
      <c r="N15" s="2">
        <v>13.88</v>
      </c>
      <c r="O15" s="2">
        <v>29</v>
      </c>
      <c r="P15" s="2">
        <v>5.97</v>
      </c>
      <c r="Q15" s="2">
        <v>14</v>
      </c>
      <c r="R15" s="2">
        <f>SUM(F15,H15,J15,L15,N15,P15)</f>
        <v>43.76</v>
      </c>
      <c r="S15" s="3">
        <f>SUM(G15,I15,K15,M15,O15,Q15)</f>
        <v>95</v>
      </c>
      <c r="T15" s="7">
        <f>Tabelle2[[#This Row],[Robotron_Dauer]]*2+Tabelle2[[#This Row],[Schule_Dauer]]*5+Tabelle2[[#This Row],[Kletterarena_Dauer]]+Tabelle2[[#This Row],[Großeltern_Dauer]]</f>
        <v>113</v>
      </c>
    </row>
    <row r="16" spans="1:20" x14ac:dyDescent="0.2">
      <c r="A16" s="1">
        <v>210</v>
      </c>
      <c r="B16" s="2" t="s">
        <v>249</v>
      </c>
      <c r="C16" s="2">
        <v>51.014880300000002</v>
      </c>
      <c r="D16" s="2">
        <v>13.7417152</v>
      </c>
      <c r="E16" s="2" t="s">
        <v>44</v>
      </c>
      <c r="F16" s="2">
        <v>6.42</v>
      </c>
      <c r="G16" s="2">
        <v>14</v>
      </c>
      <c r="H16" s="2">
        <v>3.5</v>
      </c>
      <c r="I16" s="2">
        <v>6</v>
      </c>
      <c r="J16" s="2">
        <v>6.92</v>
      </c>
      <c r="K16" s="2">
        <v>12</v>
      </c>
      <c r="L16" s="2">
        <v>4.33</v>
      </c>
      <c r="M16" s="2">
        <v>11</v>
      </c>
      <c r="N16" s="2">
        <v>15.49</v>
      </c>
      <c r="O16" s="2">
        <v>31</v>
      </c>
      <c r="P16" s="2">
        <v>5.42</v>
      </c>
      <c r="Q16" s="2">
        <v>12</v>
      </c>
      <c r="R16" s="2">
        <f>SUM(F16,H16,J16,L16,N16,P16)</f>
        <v>42.080000000000005</v>
      </c>
      <c r="S16" s="3">
        <f>SUM(G16,I16,K16,M16,O16,Q16)</f>
        <v>86</v>
      </c>
      <c r="T16" s="7">
        <f>Tabelle2[[#This Row],[Robotron_Dauer]]*2+Tabelle2[[#This Row],[Schule_Dauer]]*5+Tabelle2[[#This Row],[Kletterarena_Dauer]]+Tabelle2[[#This Row],[Großeltern_Dauer]]</f>
        <v>114</v>
      </c>
    </row>
    <row r="17" spans="1:20" x14ac:dyDescent="0.2">
      <c r="A17" s="1">
        <v>263</v>
      </c>
      <c r="B17" s="2" t="s">
        <v>304</v>
      </c>
      <c r="C17" s="2">
        <v>50.980196599999999</v>
      </c>
      <c r="D17" s="2">
        <v>13.844357199999999</v>
      </c>
      <c r="E17" s="2" t="s">
        <v>90</v>
      </c>
      <c r="F17" s="2">
        <v>18.07</v>
      </c>
      <c r="G17" s="2">
        <v>26</v>
      </c>
      <c r="H17" s="2">
        <v>13.12</v>
      </c>
      <c r="I17" s="2">
        <v>14</v>
      </c>
      <c r="J17" s="2">
        <v>3.99</v>
      </c>
      <c r="K17" s="2">
        <v>7</v>
      </c>
      <c r="L17" s="2">
        <v>15.45</v>
      </c>
      <c r="M17" s="2">
        <v>20</v>
      </c>
      <c r="N17" s="2">
        <v>15.5</v>
      </c>
      <c r="O17" s="2">
        <v>32</v>
      </c>
      <c r="P17" s="2">
        <v>16.600000000000001</v>
      </c>
      <c r="Q17" s="2">
        <v>23</v>
      </c>
      <c r="R17" s="2">
        <f>SUM(F17,H17,J17,L17,N17,P17)</f>
        <v>82.72999999999999</v>
      </c>
      <c r="S17" s="3">
        <f>SUM(G17,I17,K17,M17,O17,Q17)</f>
        <v>122</v>
      </c>
      <c r="T17" s="7">
        <f>Tabelle2[[#This Row],[Robotron_Dauer]]*2+Tabelle2[[#This Row],[Schule_Dauer]]*5+Tabelle2[[#This Row],[Kletterarena_Dauer]]+Tabelle2[[#This Row],[Großeltern_Dauer]]</f>
        <v>115</v>
      </c>
    </row>
    <row r="18" spans="1:20" x14ac:dyDescent="0.2">
      <c r="A18" s="1">
        <v>152</v>
      </c>
      <c r="B18" s="2" t="s">
        <v>190</v>
      </c>
      <c r="C18" s="2">
        <v>51.013921199999999</v>
      </c>
      <c r="D18" s="2">
        <v>13.727532099999999</v>
      </c>
      <c r="E18" s="2" t="s">
        <v>44</v>
      </c>
      <c r="F18" s="2">
        <v>6.51</v>
      </c>
      <c r="G18" s="2">
        <v>15</v>
      </c>
      <c r="H18" s="2">
        <v>2.13</v>
      </c>
      <c r="I18" s="2">
        <v>4</v>
      </c>
      <c r="J18" s="2">
        <v>9.11</v>
      </c>
      <c r="K18" s="2">
        <v>13</v>
      </c>
      <c r="L18" s="2">
        <v>3.89</v>
      </c>
      <c r="M18" s="2">
        <v>10</v>
      </c>
      <c r="N18" s="2">
        <v>16.489999999999998</v>
      </c>
      <c r="O18" s="2">
        <v>33</v>
      </c>
      <c r="P18" s="2">
        <v>5.04</v>
      </c>
      <c r="Q18" s="2">
        <v>12</v>
      </c>
      <c r="R18" s="2">
        <f>SUM(F18,H18,J18,L18,N18,P18)</f>
        <v>43.169999999999995</v>
      </c>
      <c r="S18" s="3">
        <f>SUM(G18,I18,K18,M18,O18,Q18)</f>
        <v>87</v>
      </c>
      <c r="T18" s="7">
        <f>Tabelle2[[#This Row],[Robotron_Dauer]]*2+Tabelle2[[#This Row],[Schule_Dauer]]*5+Tabelle2[[#This Row],[Kletterarena_Dauer]]+Tabelle2[[#This Row],[Großeltern_Dauer]]</f>
        <v>116</v>
      </c>
    </row>
    <row r="19" spans="1:20" x14ac:dyDescent="0.2">
      <c r="A19" s="1">
        <v>195</v>
      </c>
      <c r="B19" s="2" t="s">
        <v>234</v>
      </c>
      <c r="C19" s="2">
        <v>51.022298999999997</v>
      </c>
      <c r="D19" s="2">
        <v>13.745294700000001</v>
      </c>
      <c r="E19" s="2" t="s">
        <v>44</v>
      </c>
      <c r="F19" s="2">
        <v>5.36</v>
      </c>
      <c r="G19" s="2">
        <v>12</v>
      </c>
      <c r="H19" s="2">
        <v>4.28</v>
      </c>
      <c r="I19" s="2">
        <v>8</v>
      </c>
      <c r="J19" s="2">
        <v>6.28</v>
      </c>
      <c r="K19" s="2">
        <v>13</v>
      </c>
      <c r="L19" s="2">
        <v>3.58</v>
      </c>
      <c r="M19" s="2">
        <v>10</v>
      </c>
      <c r="N19" s="2">
        <v>14.92</v>
      </c>
      <c r="O19" s="2">
        <v>30</v>
      </c>
      <c r="P19" s="2">
        <v>4.37</v>
      </c>
      <c r="Q19" s="2">
        <v>10</v>
      </c>
      <c r="R19" s="2">
        <f>SUM(F19,H19,J19,L19,N19,P19)</f>
        <v>38.79</v>
      </c>
      <c r="S19" s="3">
        <f>SUM(G19,I19,K19,M19,O19,Q19)</f>
        <v>83</v>
      </c>
      <c r="T19" s="7">
        <f>Tabelle2[[#This Row],[Robotron_Dauer]]*2+Tabelle2[[#This Row],[Schule_Dauer]]*5+Tabelle2[[#This Row],[Kletterarena_Dauer]]+Tabelle2[[#This Row],[Großeltern_Dauer]]</f>
        <v>121</v>
      </c>
    </row>
    <row r="20" spans="1:20" x14ac:dyDescent="0.2">
      <c r="A20" s="1">
        <v>61</v>
      </c>
      <c r="B20" s="2" t="s">
        <v>91</v>
      </c>
      <c r="C20" s="2">
        <v>50.966039500000001</v>
      </c>
      <c r="D20" s="2">
        <v>13.830486499999999</v>
      </c>
      <c r="E20" s="2" t="s">
        <v>92</v>
      </c>
      <c r="F20" s="2">
        <v>17.149999999999999</v>
      </c>
      <c r="G20" s="2">
        <v>24</v>
      </c>
      <c r="H20" s="2">
        <v>12.2</v>
      </c>
      <c r="I20" s="2">
        <v>12</v>
      </c>
      <c r="J20" s="2">
        <v>5.58</v>
      </c>
      <c r="K20" s="2">
        <v>9</v>
      </c>
      <c r="L20" s="2">
        <v>14.53</v>
      </c>
      <c r="M20" s="2">
        <v>19</v>
      </c>
      <c r="N20" s="2">
        <v>29.58</v>
      </c>
      <c r="O20" s="2">
        <v>33</v>
      </c>
      <c r="P20" s="2">
        <v>15.69</v>
      </c>
      <c r="Q20" s="2">
        <v>21</v>
      </c>
      <c r="R20" s="2">
        <f>SUM(F20,H20,J20,L20,N20,P20)</f>
        <v>94.72999999999999</v>
      </c>
      <c r="S20" s="3">
        <f>SUM(G20,I20,K20,M20,O20,Q20)</f>
        <v>118</v>
      </c>
      <c r="T20" s="7">
        <f>Tabelle2[[#This Row],[Robotron_Dauer]]*2+Tabelle2[[#This Row],[Schule_Dauer]]*5+Tabelle2[[#This Row],[Kletterarena_Dauer]]+Tabelle2[[#This Row],[Großeltern_Dauer]]</f>
        <v>121</v>
      </c>
    </row>
    <row r="21" spans="1:20" x14ac:dyDescent="0.2">
      <c r="A21" s="1">
        <v>202</v>
      </c>
      <c r="B21" s="2" t="s">
        <v>241</v>
      </c>
      <c r="C21" s="2">
        <v>51.017310700000003</v>
      </c>
      <c r="D21" s="2">
        <v>13.7014868</v>
      </c>
      <c r="E21" s="2" t="s">
        <v>44</v>
      </c>
      <c r="F21" s="2">
        <v>7.75</v>
      </c>
      <c r="G21" s="2">
        <v>17</v>
      </c>
      <c r="H21" s="2">
        <v>1.36</v>
      </c>
      <c r="I21" s="2">
        <v>2</v>
      </c>
      <c r="J21" s="2">
        <v>10.17</v>
      </c>
      <c r="K21" s="2">
        <v>15</v>
      </c>
      <c r="L21" s="2">
        <v>3.31</v>
      </c>
      <c r="M21" s="2">
        <v>8</v>
      </c>
      <c r="N21" s="2">
        <v>18.239999999999998</v>
      </c>
      <c r="O21" s="2">
        <v>37</v>
      </c>
      <c r="P21" s="2">
        <v>6.28</v>
      </c>
      <c r="Q21" s="2">
        <v>14</v>
      </c>
      <c r="R21" s="2">
        <f>SUM(F21,H21,J21,L21,N21,P21)</f>
        <v>47.11</v>
      </c>
      <c r="S21" s="3">
        <f>SUM(G21,I21,K21,M21,O21,Q21)</f>
        <v>93</v>
      </c>
      <c r="T21" s="7">
        <f>Tabelle2[[#This Row],[Robotron_Dauer]]*2+Tabelle2[[#This Row],[Schule_Dauer]]*5+Tabelle2[[#This Row],[Kletterarena_Dauer]]+Tabelle2[[#This Row],[Großeltern_Dauer]]</f>
        <v>124</v>
      </c>
    </row>
    <row r="22" spans="1:20" x14ac:dyDescent="0.2">
      <c r="A22" s="1">
        <v>66</v>
      </c>
      <c r="B22" s="2" t="s">
        <v>98</v>
      </c>
      <c r="C22" s="2">
        <v>51.033292899999999</v>
      </c>
      <c r="D22" s="2">
        <v>13.786478300000001</v>
      </c>
      <c r="E22" s="2" t="s">
        <v>17</v>
      </c>
      <c r="F22" s="2">
        <v>5.21</v>
      </c>
      <c r="G22" s="2">
        <v>11</v>
      </c>
      <c r="H22" s="2">
        <v>8.1300000000000008</v>
      </c>
      <c r="I22" s="2">
        <v>17</v>
      </c>
      <c r="J22" s="2">
        <v>5.93</v>
      </c>
      <c r="K22" s="2">
        <v>11</v>
      </c>
      <c r="L22" s="2">
        <v>6.55</v>
      </c>
      <c r="M22" s="2">
        <v>14</v>
      </c>
      <c r="N22" s="2">
        <v>10.3</v>
      </c>
      <c r="O22" s="2">
        <v>22</v>
      </c>
      <c r="P22" s="2">
        <v>4.57</v>
      </c>
      <c r="Q22" s="2">
        <v>9</v>
      </c>
      <c r="R22" s="2">
        <f>SUM(F22,H22,J22,L22,N22,P22)</f>
        <v>40.690000000000005</v>
      </c>
      <c r="S22" s="3">
        <f>SUM(G22,I22,K22,M22,O22,Q22)</f>
        <v>84</v>
      </c>
      <c r="T22" s="7">
        <f>Tabelle2[[#This Row],[Robotron_Dauer]]*2+Tabelle2[[#This Row],[Schule_Dauer]]*5+Tabelle2[[#This Row],[Kletterarena_Dauer]]+Tabelle2[[#This Row],[Großeltern_Dauer]]</f>
        <v>125</v>
      </c>
    </row>
    <row r="23" spans="1:20" x14ac:dyDescent="0.2">
      <c r="A23" s="1">
        <v>201</v>
      </c>
      <c r="B23" s="2" t="s">
        <v>240</v>
      </c>
      <c r="C23" s="2">
        <v>51.017364800000003</v>
      </c>
      <c r="D23" s="2">
        <v>13.7351584</v>
      </c>
      <c r="E23" s="2" t="s">
        <v>44</v>
      </c>
      <c r="F23" s="2">
        <v>6.58</v>
      </c>
      <c r="G23" s="2">
        <v>14</v>
      </c>
      <c r="H23" s="2">
        <v>3.34</v>
      </c>
      <c r="I23" s="2">
        <v>7</v>
      </c>
      <c r="J23" s="2">
        <v>7.3</v>
      </c>
      <c r="K23" s="2">
        <v>14</v>
      </c>
      <c r="L23" s="2">
        <v>3.84</v>
      </c>
      <c r="M23" s="2">
        <v>10</v>
      </c>
      <c r="N23" s="2">
        <v>16.14</v>
      </c>
      <c r="O23" s="2">
        <v>32</v>
      </c>
      <c r="P23" s="2">
        <v>5</v>
      </c>
      <c r="Q23" s="2">
        <v>12</v>
      </c>
      <c r="R23" s="2">
        <f>SUM(F23,H23,J23,L23,N23,P23)</f>
        <v>42.2</v>
      </c>
      <c r="S23" s="3">
        <f>SUM(G23,I23,K23,M23,O23,Q23)</f>
        <v>89</v>
      </c>
      <c r="T23" s="7">
        <f>Tabelle2[[#This Row],[Robotron_Dauer]]*2+Tabelle2[[#This Row],[Schule_Dauer]]*5+Tabelle2[[#This Row],[Kletterarena_Dauer]]+Tabelle2[[#This Row],[Großeltern_Dauer]]</f>
        <v>126</v>
      </c>
    </row>
    <row r="24" spans="1:20" x14ac:dyDescent="0.2">
      <c r="A24" s="1">
        <v>119</v>
      </c>
      <c r="B24" s="2" t="s">
        <v>152</v>
      </c>
      <c r="C24" s="2">
        <v>50.993740099999997</v>
      </c>
      <c r="D24" s="2">
        <v>13.8502349</v>
      </c>
      <c r="E24" s="2" t="s">
        <v>44</v>
      </c>
      <c r="F24" s="2">
        <v>11.44</v>
      </c>
      <c r="G24" s="2">
        <v>22</v>
      </c>
      <c r="H24" s="2">
        <v>14.54</v>
      </c>
      <c r="I24" s="2">
        <v>18</v>
      </c>
      <c r="J24" s="2">
        <v>4.83</v>
      </c>
      <c r="K24" s="2">
        <v>8</v>
      </c>
      <c r="L24" s="2">
        <v>16.87</v>
      </c>
      <c r="M24" s="2">
        <v>24</v>
      </c>
      <c r="N24" s="2">
        <v>13.58</v>
      </c>
      <c r="O24" s="2">
        <v>27</v>
      </c>
      <c r="P24" s="2">
        <v>10.8</v>
      </c>
      <c r="Q24" s="2">
        <v>21</v>
      </c>
      <c r="R24" s="2">
        <f>SUM(F24,H24,J24,L24,N24,P24)</f>
        <v>72.059999999999988</v>
      </c>
      <c r="S24" s="3">
        <f>SUM(G24,I24,K24,M24,O24,Q24)</f>
        <v>120</v>
      </c>
      <c r="T24" s="7">
        <f>Tabelle2[[#This Row],[Robotron_Dauer]]*2+Tabelle2[[#This Row],[Schule_Dauer]]*5+Tabelle2[[#This Row],[Kletterarena_Dauer]]+Tabelle2[[#This Row],[Großeltern_Dauer]]</f>
        <v>127</v>
      </c>
    </row>
    <row r="25" spans="1:20" x14ac:dyDescent="0.2">
      <c r="A25" s="1">
        <v>120</v>
      </c>
      <c r="B25" s="2" t="s">
        <v>153</v>
      </c>
      <c r="C25" s="2">
        <v>50.997386300000002</v>
      </c>
      <c r="D25" s="2">
        <v>13.855161799999999</v>
      </c>
      <c r="E25" s="2" t="s">
        <v>44</v>
      </c>
      <c r="F25" s="2">
        <v>11.73</v>
      </c>
      <c r="G25" s="2">
        <v>23</v>
      </c>
      <c r="H25" s="2">
        <v>16.03</v>
      </c>
      <c r="I25" s="2">
        <v>19</v>
      </c>
      <c r="J25" s="2">
        <v>5.12</v>
      </c>
      <c r="K25" s="2">
        <v>8</v>
      </c>
      <c r="L25" s="2">
        <v>13.34</v>
      </c>
      <c r="M25" s="2">
        <v>25</v>
      </c>
      <c r="N25" s="2">
        <v>13.04</v>
      </c>
      <c r="O25" s="2">
        <v>26</v>
      </c>
      <c r="P25" s="2">
        <v>11.09</v>
      </c>
      <c r="Q25" s="2">
        <v>22</v>
      </c>
      <c r="R25" s="2">
        <f>SUM(F25,H25,J25,L25,N25,P25)</f>
        <v>70.349999999999994</v>
      </c>
      <c r="S25" s="3">
        <f>SUM(G25,I25,K25,M25,O25,Q25)</f>
        <v>123</v>
      </c>
      <c r="T25" s="7">
        <f>Tabelle2[[#This Row],[Robotron_Dauer]]*2+Tabelle2[[#This Row],[Schule_Dauer]]*5+Tabelle2[[#This Row],[Kletterarena_Dauer]]+Tabelle2[[#This Row],[Großeltern_Dauer]]</f>
        <v>129</v>
      </c>
    </row>
    <row r="26" spans="1:20" x14ac:dyDescent="0.2">
      <c r="A26" s="1">
        <v>211</v>
      </c>
      <c r="B26" s="2" t="s">
        <v>250</v>
      </c>
      <c r="C26" s="2">
        <v>51.025189599999997</v>
      </c>
      <c r="D26" s="2">
        <v>13.733386599999999</v>
      </c>
      <c r="E26" s="2" t="s">
        <v>44</v>
      </c>
      <c r="F26" s="2">
        <v>5.23</v>
      </c>
      <c r="G26" s="2">
        <v>12</v>
      </c>
      <c r="H26" s="2">
        <v>3.81</v>
      </c>
      <c r="I26" s="2">
        <v>8</v>
      </c>
      <c r="J26" s="2">
        <v>7.67</v>
      </c>
      <c r="K26" s="2">
        <v>15</v>
      </c>
      <c r="L26" s="2">
        <v>2.61</v>
      </c>
      <c r="M26" s="2">
        <v>7</v>
      </c>
      <c r="N26" s="2">
        <v>15.83</v>
      </c>
      <c r="O26" s="2">
        <v>32</v>
      </c>
      <c r="P26" s="2">
        <v>3.76</v>
      </c>
      <c r="Q26" s="2">
        <v>9</v>
      </c>
      <c r="R26" s="2">
        <f>SUM(F26,H26,J26,L26,N26,P26)</f>
        <v>38.909999999999997</v>
      </c>
      <c r="S26" s="3">
        <f>SUM(G26,I26,K26,M26,O26,Q26)</f>
        <v>83</v>
      </c>
      <c r="T26" s="7">
        <f>Tabelle2[[#This Row],[Robotron_Dauer]]*2+Tabelle2[[#This Row],[Schule_Dauer]]*5+Tabelle2[[#This Row],[Kletterarena_Dauer]]+Tabelle2[[#This Row],[Großeltern_Dauer]]</f>
        <v>130</v>
      </c>
    </row>
    <row r="27" spans="1:20" x14ac:dyDescent="0.2">
      <c r="A27" s="1">
        <v>200</v>
      </c>
      <c r="B27" s="2" t="s">
        <v>239</v>
      </c>
      <c r="C27" s="2">
        <v>51.010084900000003</v>
      </c>
      <c r="D27" s="2">
        <v>13.7494315</v>
      </c>
      <c r="E27" s="2" t="s">
        <v>44</v>
      </c>
      <c r="F27" s="2">
        <v>7.21</v>
      </c>
      <c r="G27" s="2">
        <v>17</v>
      </c>
      <c r="H27" s="2">
        <v>4.1100000000000003</v>
      </c>
      <c r="I27" s="2">
        <v>9</v>
      </c>
      <c r="J27" s="2">
        <v>6.54</v>
      </c>
      <c r="K27" s="2">
        <v>13</v>
      </c>
      <c r="L27" s="2">
        <v>5.3</v>
      </c>
      <c r="M27" s="2">
        <v>14</v>
      </c>
      <c r="N27" s="2">
        <v>15.11</v>
      </c>
      <c r="O27" s="2">
        <v>33</v>
      </c>
      <c r="P27" s="2">
        <v>6.22</v>
      </c>
      <c r="Q27" s="2">
        <v>15</v>
      </c>
      <c r="R27" s="2">
        <f>SUM(F27,H27,J27,L27,N27,P27)</f>
        <v>44.489999999999995</v>
      </c>
      <c r="S27" s="3">
        <f>SUM(G27,I27,K27,M27,O27,Q27)</f>
        <v>101</v>
      </c>
      <c r="T27" s="7">
        <f>Tabelle2[[#This Row],[Robotron_Dauer]]*2+Tabelle2[[#This Row],[Schule_Dauer]]*5+Tabelle2[[#This Row],[Kletterarena_Dauer]]+Tabelle2[[#This Row],[Großeltern_Dauer]]</f>
        <v>130</v>
      </c>
    </row>
    <row r="28" spans="1:20" x14ac:dyDescent="0.2">
      <c r="A28" s="1">
        <v>71</v>
      </c>
      <c r="B28" s="2" t="s">
        <v>103</v>
      </c>
      <c r="C28" s="2">
        <v>51.027595300000002</v>
      </c>
      <c r="D28" s="2">
        <v>13.803068</v>
      </c>
      <c r="E28" s="2" t="s">
        <v>19</v>
      </c>
      <c r="F28" s="2">
        <v>6.81</v>
      </c>
      <c r="G28" s="2">
        <v>14</v>
      </c>
      <c r="H28" s="2">
        <v>12.66</v>
      </c>
      <c r="I28" s="2">
        <v>20</v>
      </c>
      <c r="J28" s="2">
        <v>5.39</v>
      </c>
      <c r="K28" s="2">
        <v>10</v>
      </c>
      <c r="L28" s="2">
        <v>8.15</v>
      </c>
      <c r="M28" s="2">
        <v>17</v>
      </c>
      <c r="N28" s="2">
        <v>11.24</v>
      </c>
      <c r="O28" s="2">
        <v>24</v>
      </c>
      <c r="P28" s="2">
        <v>6.16</v>
      </c>
      <c r="Q28" s="2">
        <v>12</v>
      </c>
      <c r="R28" s="2">
        <f>SUM(F28,H28,J28,L28,N28,P28)</f>
        <v>50.41</v>
      </c>
      <c r="S28" s="3">
        <f>SUM(G28,I28,K28,M28,O28,Q28)</f>
        <v>97</v>
      </c>
      <c r="T28" s="7">
        <f>Tabelle2[[#This Row],[Robotron_Dauer]]*2+Tabelle2[[#This Row],[Schule_Dauer]]*5+Tabelle2[[#This Row],[Kletterarena_Dauer]]+Tabelle2[[#This Row],[Großeltern_Dauer]]</f>
        <v>131</v>
      </c>
    </row>
    <row r="29" spans="1:20" x14ac:dyDescent="0.2">
      <c r="A29" s="1">
        <v>214</v>
      </c>
      <c r="B29" s="2" t="s">
        <v>253</v>
      </c>
      <c r="C29" s="2">
        <v>51.011146699999998</v>
      </c>
      <c r="D29" s="2">
        <v>13.6921953</v>
      </c>
      <c r="E29" s="2" t="s">
        <v>19</v>
      </c>
      <c r="F29" s="2">
        <v>8.77</v>
      </c>
      <c r="G29" s="2">
        <v>19</v>
      </c>
      <c r="H29" s="2">
        <v>1.26</v>
      </c>
      <c r="I29" s="2">
        <v>2</v>
      </c>
      <c r="J29" s="2">
        <v>11.44</v>
      </c>
      <c r="K29" s="2">
        <v>16</v>
      </c>
      <c r="L29" s="2">
        <v>4.33</v>
      </c>
      <c r="M29" s="2">
        <v>10</v>
      </c>
      <c r="N29" s="2">
        <v>20.14</v>
      </c>
      <c r="O29" s="2">
        <v>39</v>
      </c>
      <c r="P29" s="2">
        <v>7.3</v>
      </c>
      <c r="Q29" s="2">
        <v>16</v>
      </c>
      <c r="R29" s="2">
        <f>SUM(F29,H29,J29,L29,N29,P29)</f>
        <v>53.239999999999995</v>
      </c>
      <c r="S29" s="3">
        <f>SUM(G29,I29,K29,M29,O29,Q29)</f>
        <v>102</v>
      </c>
      <c r="T29" s="7">
        <f>Tabelle2[[#This Row],[Robotron_Dauer]]*2+Tabelle2[[#This Row],[Schule_Dauer]]*5+Tabelle2[[#This Row],[Kletterarena_Dauer]]+Tabelle2[[#This Row],[Großeltern_Dauer]]</f>
        <v>133</v>
      </c>
    </row>
    <row r="30" spans="1:20" x14ac:dyDescent="0.2">
      <c r="A30" s="1">
        <v>251</v>
      </c>
      <c r="B30" s="2" t="s">
        <v>291</v>
      </c>
      <c r="C30" s="2">
        <v>51.009630999999999</v>
      </c>
      <c r="D30" s="2">
        <v>13.854418000000001</v>
      </c>
      <c r="E30" s="2" t="s">
        <v>17</v>
      </c>
      <c r="F30" s="2">
        <v>10.94</v>
      </c>
      <c r="G30" s="2">
        <v>22</v>
      </c>
      <c r="H30" s="2">
        <v>16.100000000000001</v>
      </c>
      <c r="I30" s="2">
        <v>20</v>
      </c>
      <c r="J30" s="2">
        <v>4.92</v>
      </c>
      <c r="K30" s="2">
        <v>9</v>
      </c>
      <c r="L30" s="2">
        <v>12.68</v>
      </c>
      <c r="M30" s="2">
        <v>25</v>
      </c>
      <c r="N30" s="2">
        <v>11.41</v>
      </c>
      <c r="O30" s="2">
        <v>23</v>
      </c>
      <c r="P30" s="2">
        <v>10.3</v>
      </c>
      <c r="Q30" s="2">
        <v>20</v>
      </c>
      <c r="R30" s="2">
        <f>SUM(F30,H30,J30,L30,N30,P30)</f>
        <v>66.349999999999994</v>
      </c>
      <c r="S30" s="3">
        <f>SUM(G30,I30,K30,M30,O30,Q30)</f>
        <v>119</v>
      </c>
      <c r="T30" s="7">
        <f>Tabelle2[[#This Row],[Robotron_Dauer]]*2+Tabelle2[[#This Row],[Schule_Dauer]]*5+Tabelle2[[#This Row],[Kletterarena_Dauer]]+Tabelle2[[#This Row],[Großeltern_Dauer]]</f>
        <v>133</v>
      </c>
    </row>
    <row r="31" spans="1:20" x14ac:dyDescent="0.2">
      <c r="A31" s="1">
        <v>69</v>
      </c>
      <c r="B31" s="2" t="s">
        <v>101</v>
      </c>
      <c r="C31" s="2">
        <v>51.023370800000002</v>
      </c>
      <c r="D31" s="2">
        <v>13.837998199999999</v>
      </c>
      <c r="E31" s="2" t="s">
        <v>44</v>
      </c>
      <c r="F31" s="2">
        <v>8.0299999999999994</v>
      </c>
      <c r="G31" s="2">
        <v>19</v>
      </c>
      <c r="H31" s="2">
        <v>13.57</v>
      </c>
      <c r="I31" s="2">
        <v>20</v>
      </c>
      <c r="J31" s="2">
        <v>5.49</v>
      </c>
      <c r="K31" s="2">
        <v>9</v>
      </c>
      <c r="L31" s="2">
        <v>10.9</v>
      </c>
      <c r="M31" s="2">
        <v>22</v>
      </c>
      <c r="N31" s="2">
        <v>13.73</v>
      </c>
      <c r="O31" s="2">
        <v>27</v>
      </c>
      <c r="P31" s="2">
        <v>8.91</v>
      </c>
      <c r="Q31" s="2">
        <v>18</v>
      </c>
      <c r="R31" s="2">
        <f>SUM(F31,H31,J31,L31,N31,P31)</f>
        <v>60.629999999999995</v>
      </c>
      <c r="S31" s="3">
        <f>SUM(G31,I31,K31,M31,O31,Q31)</f>
        <v>115</v>
      </c>
      <c r="T31" s="7">
        <f>Tabelle2[[#This Row],[Robotron_Dauer]]*2+Tabelle2[[#This Row],[Schule_Dauer]]*5+Tabelle2[[#This Row],[Kletterarena_Dauer]]+Tabelle2[[#This Row],[Großeltern_Dauer]]</f>
        <v>134</v>
      </c>
    </row>
    <row r="32" spans="1:20" x14ac:dyDescent="0.2">
      <c r="A32" s="1">
        <v>26</v>
      </c>
      <c r="B32" s="2" t="s">
        <v>49</v>
      </c>
      <c r="C32" s="2">
        <v>51.035483900000003</v>
      </c>
      <c r="D32" s="2">
        <v>13.730509700000001</v>
      </c>
      <c r="E32" s="2" t="s">
        <v>44</v>
      </c>
      <c r="F32" s="2">
        <v>4.21</v>
      </c>
      <c r="G32" s="2">
        <v>11</v>
      </c>
      <c r="H32" s="2">
        <v>4.75</v>
      </c>
      <c r="I32" s="2">
        <v>10</v>
      </c>
      <c r="J32" s="2">
        <v>8</v>
      </c>
      <c r="K32" s="2">
        <v>16</v>
      </c>
      <c r="L32" s="2">
        <v>1.52</v>
      </c>
      <c r="M32" s="2">
        <v>5</v>
      </c>
      <c r="N32" s="2">
        <v>14.55</v>
      </c>
      <c r="O32" s="2">
        <v>31</v>
      </c>
      <c r="P32" s="2">
        <v>2.75</v>
      </c>
      <c r="Q32" s="2">
        <v>8</v>
      </c>
      <c r="R32" s="2">
        <f>SUM(F32,H32,J32,L32,N32,P32)</f>
        <v>35.78</v>
      </c>
      <c r="S32" s="3">
        <f>SUM(G32,I32,K32,M32,O32,Q32)</f>
        <v>81</v>
      </c>
      <c r="T32" s="7">
        <f>Tabelle2[[#This Row],[Robotron_Dauer]]*2+Tabelle2[[#This Row],[Schule_Dauer]]*5+Tabelle2[[#This Row],[Kletterarena_Dauer]]+Tabelle2[[#This Row],[Großeltern_Dauer]]</f>
        <v>136</v>
      </c>
    </row>
    <row r="33" spans="1:20" x14ac:dyDescent="0.2">
      <c r="A33" s="1">
        <v>31</v>
      </c>
      <c r="B33" s="2" t="s">
        <v>55</v>
      </c>
      <c r="C33" s="2">
        <v>51.027769900000003</v>
      </c>
      <c r="D33" s="2">
        <v>13.7098359</v>
      </c>
      <c r="E33" s="2" t="s">
        <v>44</v>
      </c>
      <c r="F33" s="2">
        <v>6.03</v>
      </c>
      <c r="G33" s="2">
        <v>14</v>
      </c>
      <c r="H33" s="2">
        <v>2.95</v>
      </c>
      <c r="I33" s="2">
        <v>6</v>
      </c>
      <c r="J33" s="2">
        <v>11.46</v>
      </c>
      <c r="K33" s="2">
        <v>18</v>
      </c>
      <c r="L33" s="2">
        <v>2.0099999999999998</v>
      </c>
      <c r="M33" s="2">
        <v>5</v>
      </c>
      <c r="N33" s="2">
        <v>16.37</v>
      </c>
      <c r="O33" s="2">
        <v>34</v>
      </c>
      <c r="P33" s="2">
        <v>4.57</v>
      </c>
      <c r="Q33" s="2">
        <v>11</v>
      </c>
      <c r="R33" s="2">
        <f>SUM(F33,H33,J33,L33,N33,P33)</f>
        <v>43.390000000000008</v>
      </c>
      <c r="S33" s="3">
        <f>SUM(G33,I33,K33,M33,O33,Q33)</f>
        <v>88</v>
      </c>
      <c r="T33" s="7">
        <f>Tabelle2[[#This Row],[Robotron_Dauer]]*2+Tabelle2[[#This Row],[Schule_Dauer]]*5+Tabelle2[[#This Row],[Kletterarena_Dauer]]+Tabelle2[[#This Row],[Großeltern_Dauer]]</f>
        <v>141</v>
      </c>
    </row>
    <row r="34" spans="1:20" x14ac:dyDescent="0.2">
      <c r="A34" s="1">
        <v>60</v>
      </c>
      <c r="B34" s="2" t="s">
        <v>89</v>
      </c>
      <c r="C34" s="2">
        <v>50.973944199999998</v>
      </c>
      <c r="D34" s="2">
        <v>13.8309315</v>
      </c>
      <c r="E34" s="2" t="s">
        <v>90</v>
      </c>
      <c r="F34" s="2">
        <v>18.149999999999999</v>
      </c>
      <c r="G34" s="2">
        <v>27</v>
      </c>
      <c r="H34" s="2">
        <v>13.2</v>
      </c>
      <c r="I34" s="2">
        <v>15</v>
      </c>
      <c r="J34" s="2">
        <v>6.58</v>
      </c>
      <c r="K34" s="2">
        <v>11</v>
      </c>
      <c r="L34" s="2">
        <v>15.53</v>
      </c>
      <c r="M34" s="2">
        <v>22</v>
      </c>
      <c r="N34" s="2">
        <v>30.58</v>
      </c>
      <c r="O34" s="2">
        <v>35</v>
      </c>
      <c r="P34" s="2">
        <v>16.68</v>
      </c>
      <c r="Q34" s="2">
        <v>24</v>
      </c>
      <c r="R34" s="2">
        <f>SUM(F34,H34,J34,L34,N34,P34)</f>
        <v>100.72</v>
      </c>
      <c r="S34" s="3">
        <f>SUM(G34,I34,K34,M34,O34,Q34)</f>
        <v>134</v>
      </c>
      <c r="T34" s="7">
        <f>Tabelle2[[#This Row],[Robotron_Dauer]]*2+Tabelle2[[#This Row],[Schule_Dauer]]*5+Tabelle2[[#This Row],[Kletterarena_Dauer]]+Tabelle2[[#This Row],[Großeltern_Dauer]]</f>
        <v>142</v>
      </c>
    </row>
    <row r="35" spans="1:20" x14ac:dyDescent="0.2">
      <c r="A35" s="1">
        <v>65</v>
      </c>
      <c r="B35" s="2" t="s">
        <v>97</v>
      </c>
      <c r="C35" s="2">
        <v>51.043469600000002</v>
      </c>
      <c r="D35" s="2">
        <v>13.786050599999999</v>
      </c>
      <c r="E35" s="2" t="s">
        <v>17</v>
      </c>
      <c r="F35" s="2">
        <v>3.07</v>
      </c>
      <c r="G35" s="2">
        <v>7</v>
      </c>
      <c r="H35" s="2">
        <v>8.8800000000000008</v>
      </c>
      <c r="I35" s="2">
        <v>18</v>
      </c>
      <c r="J35" s="2">
        <v>7.73</v>
      </c>
      <c r="K35" s="2">
        <v>15</v>
      </c>
      <c r="L35" s="2">
        <v>6.42</v>
      </c>
      <c r="M35" s="2">
        <v>13</v>
      </c>
      <c r="N35" s="2">
        <v>9.44</v>
      </c>
      <c r="O35" s="2">
        <v>19</v>
      </c>
      <c r="P35" s="2">
        <v>4.43</v>
      </c>
      <c r="Q35" s="2">
        <v>8</v>
      </c>
      <c r="R35" s="2">
        <f>SUM(F35,H35,J35,L35,N35,P35)</f>
        <v>39.97</v>
      </c>
      <c r="S35" s="3">
        <f>SUM(G35,I35,K35,M35,O35,Q35)</f>
        <v>80</v>
      </c>
      <c r="T35" s="7">
        <f>Tabelle2[[#This Row],[Robotron_Dauer]]*2+Tabelle2[[#This Row],[Schule_Dauer]]*5+Tabelle2[[#This Row],[Kletterarena_Dauer]]+Tabelle2[[#This Row],[Großeltern_Dauer]]</f>
        <v>143</v>
      </c>
    </row>
    <row r="36" spans="1:20" x14ac:dyDescent="0.2">
      <c r="A36" s="1">
        <v>264</v>
      </c>
      <c r="B36" s="2" t="s">
        <v>305</v>
      </c>
      <c r="C36" s="2">
        <v>50.980018000000001</v>
      </c>
      <c r="D36" s="2">
        <v>13.8716349</v>
      </c>
      <c r="E36" s="2" t="s">
        <v>90</v>
      </c>
      <c r="F36" s="2">
        <v>13.63</v>
      </c>
      <c r="G36" s="2">
        <v>27</v>
      </c>
      <c r="H36" s="2">
        <v>14.91</v>
      </c>
      <c r="I36" s="2">
        <v>18</v>
      </c>
      <c r="J36" s="2">
        <v>5.78</v>
      </c>
      <c r="K36" s="2">
        <v>11</v>
      </c>
      <c r="L36" s="2">
        <v>17.23</v>
      </c>
      <c r="M36" s="2">
        <v>24</v>
      </c>
      <c r="N36" s="2">
        <v>15.56</v>
      </c>
      <c r="O36" s="2">
        <v>30</v>
      </c>
      <c r="P36" s="2">
        <v>12.98</v>
      </c>
      <c r="Q36" s="2">
        <v>25</v>
      </c>
      <c r="R36" s="2">
        <f>SUM(F36,H36,J36,L36,N36,P36)</f>
        <v>80.09</v>
      </c>
      <c r="S36" s="3">
        <f>SUM(G36,I36,K36,M36,O36,Q36)</f>
        <v>135</v>
      </c>
      <c r="T36" s="7">
        <f>Tabelle2[[#This Row],[Robotron_Dauer]]*2+Tabelle2[[#This Row],[Schule_Dauer]]*5+Tabelle2[[#This Row],[Kletterarena_Dauer]]+Tabelle2[[#This Row],[Großeltern_Dauer]]</f>
        <v>145</v>
      </c>
    </row>
    <row r="37" spans="1:20" x14ac:dyDescent="0.2">
      <c r="A37" s="1">
        <v>30</v>
      </c>
      <c r="B37" s="2" t="s">
        <v>53</v>
      </c>
      <c r="C37" s="2">
        <v>50.968738000000002</v>
      </c>
      <c r="D37" s="2">
        <v>13.7657138</v>
      </c>
      <c r="E37" s="2" t="s">
        <v>54</v>
      </c>
      <c r="F37" s="2">
        <v>13.62</v>
      </c>
      <c r="G37" s="2">
        <v>26</v>
      </c>
      <c r="H37" s="2">
        <v>10.93</v>
      </c>
      <c r="I37" s="2">
        <v>16</v>
      </c>
      <c r="J37" s="2">
        <v>5.7</v>
      </c>
      <c r="K37" s="2">
        <v>10</v>
      </c>
      <c r="L37" s="2">
        <v>13.25</v>
      </c>
      <c r="M37" s="2">
        <v>23</v>
      </c>
      <c r="N37" s="2">
        <v>20.53</v>
      </c>
      <c r="O37" s="2">
        <v>40</v>
      </c>
      <c r="P37" s="2">
        <v>12.63</v>
      </c>
      <c r="Q37" s="2">
        <v>24</v>
      </c>
      <c r="R37" s="2">
        <f>SUM(F37,H37,J37,L37,N37,P37)</f>
        <v>76.66</v>
      </c>
      <c r="S37" s="3">
        <f>SUM(G37,I37,K37,M37,O37,Q37)</f>
        <v>139</v>
      </c>
      <c r="T37" s="7">
        <f>Tabelle2[[#This Row],[Robotron_Dauer]]*2+Tabelle2[[#This Row],[Schule_Dauer]]*5+Tabelle2[[#This Row],[Kletterarena_Dauer]]+Tabelle2[[#This Row],[Großeltern_Dauer]]</f>
        <v>145</v>
      </c>
    </row>
    <row r="38" spans="1:20" x14ac:dyDescent="0.2">
      <c r="A38" s="1">
        <v>212</v>
      </c>
      <c r="B38" s="2" t="s">
        <v>251</v>
      </c>
      <c r="C38" s="2">
        <v>51.048984900000001</v>
      </c>
      <c r="D38" s="2">
        <v>13.749566700000001</v>
      </c>
      <c r="E38" s="2" t="s">
        <v>44</v>
      </c>
      <c r="F38" s="2">
        <v>2.11</v>
      </c>
      <c r="G38" s="2">
        <v>5</v>
      </c>
      <c r="H38" s="2">
        <v>6.68</v>
      </c>
      <c r="I38" s="2">
        <v>15</v>
      </c>
      <c r="J38" s="2">
        <v>8.64</v>
      </c>
      <c r="K38" s="2">
        <v>17</v>
      </c>
      <c r="L38" s="2">
        <v>3.02</v>
      </c>
      <c r="M38" s="2">
        <v>7</v>
      </c>
      <c r="N38" s="2">
        <v>12.03</v>
      </c>
      <c r="O38" s="2">
        <v>25</v>
      </c>
      <c r="P38" s="2">
        <v>1.03</v>
      </c>
      <c r="Q38" s="2">
        <v>3</v>
      </c>
      <c r="R38" s="2">
        <f>SUM(F38,H38,J38,L38,N38,P38)</f>
        <v>33.51</v>
      </c>
      <c r="S38" s="3">
        <f>SUM(G38,I38,K38,M38,O38,Q38)</f>
        <v>72</v>
      </c>
      <c r="T38" s="7">
        <f>Tabelle2[[#This Row],[Robotron_Dauer]]*2+Tabelle2[[#This Row],[Schule_Dauer]]*5+Tabelle2[[#This Row],[Kletterarena_Dauer]]+Tabelle2[[#This Row],[Großeltern_Dauer]]</f>
        <v>147</v>
      </c>
    </row>
    <row r="39" spans="1:20" x14ac:dyDescent="0.2">
      <c r="A39" s="1">
        <v>62</v>
      </c>
      <c r="B39" s="2" t="s">
        <v>93</v>
      </c>
      <c r="C39" s="2">
        <v>50.9616519</v>
      </c>
      <c r="D39" s="2">
        <v>13.765857799999999</v>
      </c>
      <c r="E39" s="2" t="s">
        <v>54</v>
      </c>
      <c r="F39" s="2">
        <v>13.94</v>
      </c>
      <c r="G39" s="2">
        <v>26</v>
      </c>
      <c r="H39" s="2">
        <v>11.24</v>
      </c>
      <c r="I39" s="2">
        <v>17</v>
      </c>
      <c r="J39" s="2">
        <v>6.09</v>
      </c>
      <c r="K39" s="2">
        <v>10</v>
      </c>
      <c r="L39" s="2">
        <v>13.57</v>
      </c>
      <c r="M39" s="2">
        <v>23</v>
      </c>
      <c r="N39" s="2">
        <v>20.85</v>
      </c>
      <c r="O39" s="2">
        <v>40</v>
      </c>
      <c r="P39" s="2">
        <v>12.95</v>
      </c>
      <c r="Q39" s="2">
        <v>24</v>
      </c>
      <c r="R39" s="2">
        <f>SUM(F39,H39,J39,L39,N39,P39)</f>
        <v>78.64</v>
      </c>
      <c r="S39" s="3">
        <f>SUM(G39,I39,K39,M39,O39,Q39)</f>
        <v>140</v>
      </c>
      <c r="T39" s="7">
        <f>Tabelle2[[#This Row],[Robotron_Dauer]]*2+Tabelle2[[#This Row],[Schule_Dauer]]*5+Tabelle2[[#This Row],[Kletterarena_Dauer]]+Tabelle2[[#This Row],[Großeltern_Dauer]]</f>
        <v>147</v>
      </c>
    </row>
    <row r="40" spans="1:20" x14ac:dyDescent="0.2">
      <c r="A40" s="1">
        <v>107</v>
      </c>
      <c r="B40" s="2" t="s">
        <v>92</v>
      </c>
      <c r="C40" s="2">
        <v>50.955232000000002</v>
      </c>
      <c r="D40" s="2">
        <v>13.8587012</v>
      </c>
      <c r="E40" s="2" t="s">
        <v>131</v>
      </c>
      <c r="F40" s="2">
        <v>22.05</v>
      </c>
      <c r="G40" s="2">
        <v>27</v>
      </c>
      <c r="H40" s="2">
        <v>17.100000000000001</v>
      </c>
      <c r="I40" s="2">
        <v>16</v>
      </c>
      <c r="J40" s="2">
        <v>10.85</v>
      </c>
      <c r="K40" s="2">
        <v>13</v>
      </c>
      <c r="L40" s="2">
        <v>19.43</v>
      </c>
      <c r="M40" s="2">
        <v>22</v>
      </c>
      <c r="N40" s="2">
        <v>22.6</v>
      </c>
      <c r="O40" s="2">
        <v>29</v>
      </c>
      <c r="P40" s="2">
        <v>20.59</v>
      </c>
      <c r="Q40" s="2">
        <v>24</v>
      </c>
      <c r="R40" s="2">
        <f>SUM(F40,H40,J40,L40,N40,P40)</f>
        <v>112.62</v>
      </c>
      <c r="S40" s="3">
        <f>SUM(G40,I40,K40,M40,O40,Q40)</f>
        <v>131</v>
      </c>
      <c r="T40" s="7">
        <f>Tabelle2[[#This Row],[Robotron_Dauer]]*2+Tabelle2[[#This Row],[Schule_Dauer]]*5+Tabelle2[[#This Row],[Kletterarena_Dauer]]+Tabelle2[[#This Row],[Großeltern_Dauer]]</f>
        <v>148</v>
      </c>
    </row>
    <row r="41" spans="1:20" x14ac:dyDescent="0.2">
      <c r="A41" s="1">
        <v>199</v>
      </c>
      <c r="B41" s="2" t="s">
        <v>238</v>
      </c>
      <c r="C41" s="2">
        <v>51.043832700000003</v>
      </c>
      <c r="D41" s="2">
        <v>13.7338551</v>
      </c>
      <c r="E41" s="2" t="s">
        <v>19</v>
      </c>
      <c r="F41" s="2">
        <v>3.53</v>
      </c>
      <c r="G41" s="2">
        <v>9</v>
      </c>
      <c r="H41" s="2">
        <v>5.62</v>
      </c>
      <c r="I41" s="2">
        <v>13</v>
      </c>
      <c r="J41" s="2">
        <v>8.98</v>
      </c>
      <c r="K41" s="2">
        <v>18</v>
      </c>
      <c r="L41" s="2">
        <v>1.84</v>
      </c>
      <c r="M41" s="2">
        <v>4</v>
      </c>
      <c r="N41" s="2">
        <v>13.87</v>
      </c>
      <c r="O41" s="2">
        <v>29</v>
      </c>
      <c r="P41" s="2">
        <v>2.06</v>
      </c>
      <c r="Q41" s="2">
        <v>6</v>
      </c>
      <c r="R41" s="2">
        <f>SUM(F41,H41,J41,L41,N41,P41)</f>
        <v>35.900000000000006</v>
      </c>
      <c r="S41" s="3">
        <f>SUM(G41,I41,K41,M41,O41,Q41)</f>
        <v>79</v>
      </c>
      <c r="T41" s="7">
        <f>Tabelle2[[#This Row],[Robotron_Dauer]]*2+Tabelle2[[#This Row],[Schule_Dauer]]*5+Tabelle2[[#This Row],[Kletterarena_Dauer]]+Tabelle2[[#This Row],[Großeltern_Dauer]]</f>
        <v>149</v>
      </c>
    </row>
    <row r="42" spans="1:20" x14ac:dyDescent="0.2">
      <c r="A42" s="1">
        <v>281</v>
      </c>
      <c r="B42" s="2" t="s">
        <v>322</v>
      </c>
      <c r="C42" s="2">
        <v>50.950249300000003</v>
      </c>
      <c r="D42" s="2">
        <v>13.8561418</v>
      </c>
      <c r="E42" s="2" t="s">
        <v>19</v>
      </c>
      <c r="F42" s="2">
        <v>22.4</v>
      </c>
      <c r="G42" s="2">
        <v>28</v>
      </c>
      <c r="H42" s="2">
        <v>17.45</v>
      </c>
      <c r="I42" s="2">
        <v>16</v>
      </c>
      <c r="J42" s="2">
        <v>11.2</v>
      </c>
      <c r="K42" s="2">
        <v>13</v>
      </c>
      <c r="L42" s="2">
        <v>19.78</v>
      </c>
      <c r="M42" s="2">
        <v>22</v>
      </c>
      <c r="N42" s="2">
        <v>22.95</v>
      </c>
      <c r="O42" s="2">
        <v>30</v>
      </c>
      <c r="P42" s="2">
        <v>20.94</v>
      </c>
      <c r="Q42" s="2">
        <v>25</v>
      </c>
      <c r="R42" s="2">
        <f>SUM(F42,H42,J42,L42,N42,P42)</f>
        <v>114.72</v>
      </c>
      <c r="S42" s="3">
        <f>SUM(G42,I42,K42,M42,O42,Q42)</f>
        <v>134</v>
      </c>
      <c r="T42" s="7">
        <f>Tabelle2[[#This Row],[Robotron_Dauer]]*2+Tabelle2[[#This Row],[Schule_Dauer]]*5+Tabelle2[[#This Row],[Kletterarena_Dauer]]+Tabelle2[[#This Row],[Großeltern_Dauer]]</f>
        <v>149</v>
      </c>
    </row>
    <row r="43" spans="1:20" x14ac:dyDescent="0.2">
      <c r="A43" s="1">
        <v>116</v>
      </c>
      <c r="B43" s="2" t="s">
        <v>90</v>
      </c>
      <c r="C43" s="2">
        <v>50.973585100000001</v>
      </c>
      <c r="D43" s="2">
        <v>13.8753917</v>
      </c>
      <c r="E43" s="2" t="s">
        <v>131</v>
      </c>
      <c r="F43" s="2">
        <v>14.66</v>
      </c>
      <c r="G43" s="2">
        <v>29</v>
      </c>
      <c r="H43" s="2">
        <v>15.65</v>
      </c>
      <c r="I43" s="2">
        <v>18</v>
      </c>
      <c r="J43" s="2">
        <v>6.52</v>
      </c>
      <c r="K43" s="2">
        <v>12</v>
      </c>
      <c r="L43" s="2">
        <v>17.97</v>
      </c>
      <c r="M43" s="2">
        <v>25</v>
      </c>
      <c r="N43" s="2">
        <v>20.69</v>
      </c>
      <c r="O43" s="2">
        <v>29</v>
      </c>
      <c r="P43" s="2">
        <v>19.13</v>
      </c>
      <c r="Q43" s="2">
        <v>27</v>
      </c>
      <c r="R43" s="2">
        <f>SUM(F43,H43,J43,L43,N43,P43)</f>
        <v>94.61999999999999</v>
      </c>
      <c r="S43" s="3">
        <f>SUM(G43,I43,K43,M43,O43,Q43)</f>
        <v>140</v>
      </c>
      <c r="T43" s="7">
        <f>Tabelle2[[#This Row],[Robotron_Dauer]]*2+Tabelle2[[#This Row],[Schule_Dauer]]*5+Tabelle2[[#This Row],[Kletterarena_Dauer]]+Tabelle2[[#This Row],[Großeltern_Dauer]]</f>
        <v>150</v>
      </c>
    </row>
    <row r="44" spans="1:20" x14ac:dyDescent="0.2">
      <c r="A44" s="1">
        <v>99</v>
      </c>
      <c r="B44" s="2" t="s">
        <v>135</v>
      </c>
      <c r="C44" s="2">
        <v>51.050740900000001</v>
      </c>
      <c r="D44" s="2">
        <v>13.7673583</v>
      </c>
      <c r="E44" s="2" t="s">
        <v>25</v>
      </c>
      <c r="F44" s="2">
        <v>1.1499999999999999</v>
      </c>
      <c r="G44" s="2">
        <v>3</v>
      </c>
      <c r="H44" s="2">
        <v>8.3699999999999992</v>
      </c>
      <c r="I44" s="2">
        <v>17</v>
      </c>
      <c r="J44" s="2">
        <v>9.32</v>
      </c>
      <c r="K44" s="2">
        <v>17</v>
      </c>
      <c r="L44" s="2">
        <v>4.75</v>
      </c>
      <c r="M44" s="2">
        <v>11</v>
      </c>
      <c r="N44" s="2">
        <v>10.24</v>
      </c>
      <c r="O44" s="2">
        <v>21</v>
      </c>
      <c r="P44" s="2">
        <v>2.76</v>
      </c>
      <c r="Q44" s="2">
        <v>7</v>
      </c>
      <c r="R44" s="2">
        <f>SUM(F44,H44,J44,L44,N44,P44)</f>
        <v>36.589999999999996</v>
      </c>
      <c r="S44" s="3">
        <f>SUM(G44,I44,K44,M44,O44,Q44)</f>
        <v>76</v>
      </c>
      <c r="T44" s="7">
        <f>Tabelle2[[#This Row],[Robotron_Dauer]]*2+Tabelle2[[#This Row],[Schule_Dauer]]*5+Tabelle2[[#This Row],[Kletterarena_Dauer]]+Tabelle2[[#This Row],[Großeltern_Dauer]]</f>
        <v>151</v>
      </c>
    </row>
    <row r="45" spans="1:20" x14ac:dyDescent="0.2">
      <c r="A45" s="1">
        <v>68</v>
      </c>
      <c r="B45" s="2" t="s">
        <v>100</v>
      </c>
      <c r="C45" s="2">
        <v>51.031981100000003</v>
      </c>
      <c r="D45" s="2">
        <v>13.822350800000001</v>
      </c>
      <c r="E45" s="2" t="s">
        <v>19</v>
      </c>
      <c r="F45" s="2">
        <v>5.89</v>
      </c>
      <c r="G45" s="2">
        <v>12</v>
      </c>
      <c r="H45" s="2">
        <v>13.78</v>
      </c>
      <c r="I45" s="2">
        <v>23</v>
      </c>
      <c r="J45" s="2">
        <v>6.51</v>
      </c>
      <c r="K45" s="2">
        <v>13</v>
      </c>
      <c r="L45" s="2">
        <v>9.27</v>
      </c>
      <c r="M45" s="2">
        <v>20</v>
      </c>
      <c r="N45" s="2">
        <v>9.82</v>
      </c>
      <c r="O45" s="2">
        <v>20</v>
      </c>
      <c r="P45" s="2">
        <v>7.28</v>
      </c>
      <c r="Q45" s="2">
        <v>15</v>
      </c>
      <c r="R45" s="2">
        <f>SUM(F45,H45,J45,L45,N45,P45)</f>
        <v>52.550000000000004</v>
      </c>
      <c r="S45" s="3">
        <f>SUM(G45,I45,K45,M45,O45,Q45)</f>
        <v>103</v>
      </c>
      <c r="T45" s="7">
        <f>Tabelle2[[#This Row],[Robotron_Dauer]]*2+Tabelle2[[#This Row],[Schule_Dauer]]*5+Tabelle2[[#This Row],[Kletterarena_Dauer]]+Tabelle2[[#This Row],[Großeltern_Dauer]]</f>
        <v>151</v>
      </c>
    </row>
    <row r="46" spans="1:20" x14ac:dyDescent="0.2">
      <c r="A46" s="1">
        <v>286</v>
      </c>
      <c r="B46" s="2" t="s">
        <v>327</v>
      </c>
      <c r="C46" s="2">
        <v>50.97242</v>
      </c>
      <c r="D46" s="2">
        <v>13.878628300000001</v>
      </c>
      <c r="E46" s="2" t="s">
        <v>19</v>
      </c>
      <c r="F46" s="2">
        <v>14.83</v>
      </c>
      <c r="G46" s="2">
        <v>30</v>
      </c>
      <c r="H46" s="2">
        <v>15.82</v>
      </c>
      <c r="I46" s="2">
        <v>19</v>
      </c>
      <c r="J46" s="2">
        <v>6.69</v>
      </c>
      <c r="K46" s="2">
        <v>12</v>
      </c>
      <c r="L46" s="2">
        <v>18.14</v>
      </c>
      <c r="M46" s="2">
        <v>25</v>
      </c>
      <c r="N46" s="2">
        <v>20.86</v>
      </c>
      <c r="O46" s="2">
        <v>30</v>
      </c>
      <c r="P46" s="2">
        <v>19.3</v>
      </c>
      <c r="Q46" s="2">
        <v>28</v>
      </c>
      <c r="R46" s="2">
        <f>SUM(F46,H46,J46,L46,N46,P46)</f>
        <v>95.64</v>
      </c>
      <c r="S46" s="3">
        <f>SUM(G46,I46,K46,M46,O46,Q46)</f>
        <v>144</v>
      </c>
      <c r="T46" s="7">
        <f>Tabelle2[[#This Row],[Robotron_Dauer]]*2+Tabelle2[[#This Row],[Schule_Dauer]]*5+Tabelle2[[#This Row],[Kletterarena_Dauer]]+Tabelle2[[#This Row],[Großeltern_Dauer]]</f>
        <v>153</v>
      </c>
    </row>
    <row r="47" spans="1:20" x14ac:dyDescent="0.2">
      <c r="A47" s="1">
        <v>204</v>
      </c>
      <c r="B47" s="2" t="s">
        <v>243</v>
      </c>
      <c r="C47" s="2">
        <v>51.0440325</v>
      </c>
      <c r="D47" s="2">
        <v>13.811145</v>
      </c>
      <c r="E47" s="2" t="s">
        <v>44</v>
      </c>
      <c r="F47" s="2">
        <v>4.83</v>
      </c>
      <c r="G47" s="2">
        <v>10</v>
      </c>
      <c r="H47" s="2">
        <v>10.88</v>
      </c>
      <c r="I47" s="2">
        <v>22</v>
      </c>
      <c r="J47" s="2">
        <v>7.62</v>
      </c>
      <c r="K47" s="2">
        <v>15</v>
      </c>
      <c r="L47" s="2">
        <v>8.9</v>
      </c>
      <c r="M47" s="2">
        <v>18</v>
      </c>
      <c r="N47" s="2">
        <v>8.34</v>
      </c>
      <c r="O47" s="2">
        <v>18</v>
      </c>
      <c r="P47" s="2">
        <v>6.91</v>
      </c>
      <c r="Q47" s="2">
        <v>14</v>
      </c>
      <c r="R47" s="2">
        <f>SUM(F47,H47,J47,L47,N47,P47)</f>
        <v>47.480000000000004</v>
      </c>
      <c r="S47" s="3">
        <f>SUM(G47,I47,K47,M47,O47,Q47)</f>
        <v>97</v>
      </c>
      <c r="T47" s="7">
        <f>Tabelle2[[#This Row],[Robotron_Dauer]]*2+Tabelle2[[#This Row],[Schule_Dauer]]*5+Tabelle2[[#This Row],[Kletterarena_Dauer]]+Tabelle2[[#This Row],[Großeltern_Dauer]]</f>
        <v>155</v>
      </c>
    </row>
    <row r="48" spans="1:20" x14ac:dyDescent="0.2">
      <c r="A48" s="1">
        <v>208</v>
      </c>
      <c r="B48" s="2" t="s">
        <v>247</v>
      </c>
      <c r="C48" s="2">
        <v>51.051167700000001</v>
      </c>
      <c r="D48" s="2">
        <v>13.725582299999999</v>
      </c>
      <c r="E48" s="2" t="s">
        <v>44</v>
      </c>
      <c r="F48" s="2">
        <v>3.72</v>
      </c>
      <c r="G48" s="2">
        <v>10</v>
      </c>
      <c r="H48" s="2">
        <v>5.92</v>
      </c>
      <c r="I48" s="2">
        <v>13</v>
      </c>
      <c r="J48" s="2">
        <v>9.6</v>
      </c>
      <c r="K48" s="2">
        <v>19</v>
      </c>
      <c r="L48" s="2">
        <v>2.14</v>
      </c>
      <c r="M48" s="2">
        <v>5</v>
      </c>
      <c r="N48" s="2">
        <v>13.87</v>
      </c>
      <c r="O48" s="2">
        <v>30</v>
      </c>
      <c r="P48" s="2">
        <v>1.59</v>
      </c>
      <c r="Q48" s="2">
        <v>5</v>
      </c>
      <c r="R48" s="2">
        <f>SUM(F48,H48,J48,L48,N48,P48)</f>
        <v>36.840000000000003</v>
      </c>
      <c r="S48" s="3">
        <f>SUM(G48,I48,K48,M48,O48,Q48)</f>
        <v>82</v>
      </c>
      <c r="T48" s="7">
        <f>Tabelle2[[#This Row],[Robotron_Dauer]]*2+Tabelle2[[#This Row],[Schule_Dauer]]*5+Tabelle2[[#This Row],[Kletterarena_Dauer]]+Tabelle2[[#This Row],[Großeltern_Dauer]]</f>
        <v>156</v>
      </c>
    </row>
    <row r="49" spans="1:20" x14ac:dyDescent="0.2">
      <c r="A49" s="1">
        <v>266</v>
      </c>
      <c r="B49" s="2" t="s">
        <v>307</v>
      </c>
      <c r="C49" s="2">
        <v>50.937225699999999</v>
      </c>
      <c r="D49" s="2">
        <v>13.9245568</v>
      </c>
      <c r="E49" s="2" t="s">
        <v>19</v>
      </c>
      <c r="F49" s="2">
        <v>25.3</v>
      </c>
      <c r="G49" s="2">
        <v>29</v>
      </c>
      <c r="H49" s="2">
        <v>20.350000000000001</v>
      </c>
      <c r="I49" s="2">
        <v>17</v>
      </c>
      <c r="J49" s="2">
        <v>14.09</v>
      </c>
      <c r="K49" s="2">
        <v>15</v>
      </c>
      <c r="L49" s="2">
        <v>22.68</v>
      </c>
      <c r="M49" s="2">
        <v>24</v>
      </c>
      <c r="N49" s="2">
        <v>19.260000000000002</v>
      </c>
      <c r="O49" s="2">
        <v>26</v>
      </c>
      <c r="P49" s="2">
        <v>23.83</v>
      </c>
      <c r="Q49" s="2">
        <v>26</v>
      </c>
      <c r="R49" s="2">
        <f>SUM(F49,H49,J49,L49,N49,P49)</f>
        <v>125.51000000000002</v>
      </c>
      <c r="S49" s="3">
        <f>SUM(G49,I49,K49,M49,O49,Q49)</f>
        <v>137</v>
      </c>
      <c r="T49" s="7">
        <f>Tabelle2[[#This Row],[Robotron_Dauer]]*2+Tabelle2[[#This Row],[Schule_Dauer]]*5+Tabelle2[[#This Row],[Kletterarena_Dauer]]+Tabelle2[[#This Row],[Großeltern_Dauer]]</f>
        <v>159</v>
      </c>
    </row>
    <row r="50" spans="1:20" x14ac:dyDescent="0.2">
      <c r="A50" s="1">
        <v>114</v>
      </c>
      <c r="B50" s="2" t="s">
        <v>149</v>
      </c>
      <c r="C50" s="2">
        <v>51.052177800000003</v>
      </c>
      <c r="D50" s="2">
        <v>13.799020499999999</v>
      </c>
      <c r="E50" s="2" t="s">
        <v>25</v>
      </c>
      <c r="F50" s="2">
        <v>3.18</v>
      </c>
      <c r="G50" s="2">
        <v>6</v>
      </c>
      <c r="H50" s="2">
        <v>11.06</v>
      </c>
      <c r="I50" s="2">
        <v>21</v>
      </c>
      <c r="J50" s="2">
        <v>8.89</v>
      </c>
      <c r="K50" s="2">
        <v>17</v>
      </c>
      <c r="L50" s="2">
        <v>7.43</v>
      </c>
      <c r="M50" s="2">
        <v>16</v>
      </c>
      <c r="N50" s="2">
        <v>7.9</v>
      </c>
      <c r="O50" s="2">
        <v>17</v>
      </c>
      <c r="P50" s="2">
        <v>5.45</v>
      </c>
      <c r="Q50" s="2">
        <v>11</v>
      </c>
      <c r="R50" s="2">
        <f>SUM(F50,H50,J50,L50,N50,P50)</f>
        <v>43.910000000000004</v>
      </c>
      <c r="S50" s="3">
        <f>SUM(G50,I50,K50,M50,O50,Q50)</f>
        <v>88</v>
      </c>
      <c r="T50" s="7">
        <f>Tabelle2[[#This Row],[Robotron_Dauer]]*2+Tabelle2[[#This Row],[Schule_Dauer]]*5+Tabelle2[[#This Row],[Kletterarena_Dauer]]+Tabelle2[[#This Row],[Großeltern_Dauer]]</f>
        <v>160</v>
      </c>
    </row>
    <row r="51" spans="1:20" x14ac:dyDescent="0.2">
      <c r="A51" s="1">
        <v>165</v>
      </c>
      <c r="B51" s="2" t="s">
        <v>202</v>
      </c>
      <c r="C51" s="2">
        <v>51.014585099999998</v>
      </c>
      <c r="D51" s="2">
        <v>13.8630803</v>
      </c>
      <c r="E51" s="2" t="s">
        <v>19</v>
      </c>
      <c r="F51" s="2">
        <v>9.68</v>
      </c>
      <c r="G51" s="2">
        <v>20</v>
      </c>
      <c r="H51" s="2">
        <v>17.39</v>
      </c>
      <c r="I51" s="2">
        <v>24</v>
      </c>
      <c r="J51" s="2">
        <v>6.21</v>
      </c>
      <c r="K51" s="2">
        <v>13</v>
      </c>
      <c r="L51" s="2">
        <v>13.96</v>
      </c>
      <c r="M51" s="2">
        <v>29</v>
      </c>
      <c r="N51" s="2">
        <v>9.56</v>
      </c>
      <c r="O51" s="2">
        <v>18</v>
      </c>
      <c r="P51" s="2">
        <v>11.59</v>
      </c>
      <c r="Q51" s="2">
        <v>25</v>
      </c>
      <c r="R51" s="2">
        <f>SUM(F51,H51,J51,L51,N51,P51)</f>
        <v>68.39</v>
      </c>
      <c r="S51" s="3">
        <f>SUM(G51,I51,K51,M51,O51,Q51)</f>
        <v>129</v>
      </c>
      <c r="T51" s="7">
        <f>Tabelle2[[#This Row],[Robotron_Dauer]]*2+Tabelle2[[#This Row],[Schule_Dauer]]*5+Tabelle2[[#This Row],[Kletterarena_Dauer]]+Tabelle2[[#This Row],[Großeltern_Dauer]]</f>
        <v>160</v>
      </c>
    </row>
    <row r="52" spans="1:20" x14ac:dyDescent="0.2">
      <c r="A52" s="1">
        <v>74</v>
      </c>
      <c r="B52" s="2" t="s">
        <v>106</v>
      </c>
      <c r="C52" s="2">
        <v>50.991857099999997</v>
      </c>
      <c r="D52" s="2">
        <v>13.875000099999999</v>
      </c>
      <c r="E52" s="2" t="s">
        <v>17</v>
      </c>
      <c r="F52" s="2">
        <v>13.25</v>
      </c>
      <c r="G52" s="2">
        <v>27</v>
      </c>
      <c r="H52" s="2">
        <v>16.38</v>
      </c>
      <c r="I52" s="2">
        <v>21</v>
      </c>
      <c r="J52" s="2">
        <v>6.64</v>
      </c>
      <c r="K52" s="2">
        <v>13</v>
      </c>
      <c r="L52" s="2">
        <v>18.71</v>
      </c>
      <c r="M52" s="2">
        <v>28</v>
      </c>
      <c r="N52" s="2">
        <v>14.04</v>
      </c>
      <c r="O52" s="2">
        <v>29</v>
      </c>
      <c r="P52" s="2">
        <v>12.61</v>
      </c>
      <c r="Q52" s="2">
        <v>26</v>
      </c>
      <c r="R52" s="2">
        <f>SUM(F52,H52,J52,L52,N52,P52)</f>
        <v>81.63</v>
      </c>
      <c r="S52" s="3">
        <f>SUM(G52,I52,K52,M52,O52,Q52)</f>
        <v>144</v>
      </c>
      <c r="T52" s="7">
        <f>Tabelle2[[#This Row],[Robotron_Dauer]]*2+Tabelle2[[#This Row],[Schule_Dauer]]*5+Tabelle2[[#This Row],[Kletterarena_Dauer]]+Tabelle2[[#This Row],[Großeltern_Dauer]]</f>
        <v>164</v>
      </c>
    </row>
    <row r="53" spans="1:20" x14ac:dyDescent="0.2">
      <c r="A53" s="1">
        <v>130</v>
      </c>
      <c r="B53" s="2" t="s">
        <v>165</v>
      </c>
      <c r="C53" s="2">
        <v>51.012662800000001</v>
      </c>
      <c r="D53" s="2">
        <v>13.8713801</v>
      </c>
      <c r="E53" s="2" t="s">
        <v>19</v>
      </c>
      <c r="F53" s="2">
        <v>10.58</v>
      </c>
      <c r="G53" s="2">
        <v>22</v>
      </c>
      <c r="H53" s="2">
        <v>17.75</v>
      </c>
      <c r="I53" s="2">
        <v>25</v>
      </c>
      <c r="J53" s="2">
        <v>6.56</v>
      </c>
      <c r="K53" s="2">
        <v>14</v>
      </c>
      <c r="L53" s="2">
        <v>14.32</v>
      </c>
      <c r="M53" s="2">
        <v>30</v>
      </c>
      <c r="N53" s="2">
        <v>9.59</v>
      </c>
      <c r="O53" s="2">
        <v>17</v>
      </c>
      <c r="P53" s="2">
        <v>11.94</v>
      </c>
      <c r="Q53" s="2">
        <v>26</v>
      </c>
      <c r="R53" s="2">
        <f>SUM(F53,H53,J53,L53,N53,P53)</f>
        <v>70.739999999999995</v>
      </c>
      <c r="S53" s="3">
        <f>SUM(G53,I53,K53,M53,O53,Q53)</f>
        <v>134</v>
      </c>
      <c r="T53" s="7">
        <f>Tabelle2[[#This Row],[Robotron_Dauer]]*2+Tabelle2[[#This Row],[Schule_Dauer]]*5+Tabelle2[[#This Row],[Kletterarena_Dauer]]+Tabelle2[[#This Row],[Großeltern_Dauer]]</f>
        <v>167</v>
      </c>
    </row>
    <row r="54" spans="1:20" x14ac:dyDescent="0.2">
      <c r="A54" s="1">
        <v>240</v>
      </c>
      <c r="B54" s="2" t="s">
        <v>280</v>
      </c>
      <c r="C54" s="2">
        <v>51.011248199999997</v>
      </c>
      <c r="D54" s="2">
        <v>13.67759</v>
      </c>
      <c r="E54" s="2" t="s">
        <v>19</v>
      </c>
      <c r="F54" s="2">
        <v>10.64</v>
      </c>
      <c r="G54" s="2">
        <v>24</v>
      </c>
      <c r="H54" s="2">
        <v>3.1</v>
      </c>
      <c r="I54" s="2">
        <v>6</v>
      </c>
      <c r="J54" s="2">
        <v>12.99</v>
      </c>
      <c r="K54" s="2">
        <v>20</v>
      </c>
      <c r="L54" s="2">
        <v>6.21</v>
      </c>
      <c r="M54" s="2">
        <v>14</v>
      </c>
      <c r="N54" s="2">
        <v>21.69</v>
      </c>
      <c r="O54" s="2">
        <v>43</v>
      </c>
      <c r="P54" s="2">
        <v>9.18</v>
      </c>
      <c r="Q54" s="2">
        <v>21</v>
      </c>
      <c r="R54" s="2">
        <f>SUM(F54,H54,J54,L54,N54,P54)</f>
        <v>63.809999999999995</v>
      </c>
      <c r="S54" s="3">
        <f>SUM(G54,I54,K54,M54,O54,Q54)</f>
        <v>128</v>
      </c>
      <c r="T54" s="7">
        <f>Tabelle2[[#This Row],[Robotron_Dauer]]*2+Tabelle2[[#This Row],[Schule_Dauer]]*5+Tabelle2[[#This Row],[Kletterarena_Dauer]]+Tabelle2[[#This Row],[Großeltern_Dauer]]</f>
        <v>169</v>
      </c>
    </row>
    <row r="55" spans="1:20" x14ac:dyDescent="0.2">
      <c r="A55" s="1">
        <v>246</v>
      </c>
      <c r="B55" s="2" t="s">
        <v>286</v>
      </c>
      <c r="C55" s="2">
        <v>51.002441500000003</v>
      </c>
      <c r="D55" s="2">
        <v>13.669471</v>
      </c>
      <c r="E55" s="2" t="s">
        <v>19</v>
      </c>
      <c r="F55" s="2">
        <v>11.37</v>
      </c>
      <c r="G55" s="2">
        <v>24</v>
      </c>
      <c r="H55" s="2">
        <v>3.44</v>
      </c>
      <c r="I55" s="2">
        <v>6</v>
      </c>
      <c r="J55" s="2">
        <v>13.22</v>
      </c>
      <c r="K55" s="2">
        <v>20</v>
      </c>
      <c r="L55" s="2">
        <v>6.93</v>
      </c>
      <c r="M55" s="2">
        <v>14</v>
      </c>
      <c r="N55" s="2">
        <v>22.32</v>
      </c>
      <c r="O55" s="2">
        <v>43</v>
      </c>
      <c r="P55" s="2">
        <v>9.9</v>
      </c>
      <c r="Q55" s="2">
        <v>21</v>
      </c>
      <c r="R55" s="2">
        <f>SUM(F55,H55,J55,L55,N55,P55)</f>
        <v>67.180000000000007</v>
      </c>
      <c r="S55" s="3">
        <f>SUM(G55,I55,K55,M55,O55,Q55)</f>
        <v>128</v>
      </c>
      <c r="T55" s="7">
        <f>Tabelle2[[#This Row],[Robotron_Dauer]]*2+Tabelle2[[#This Row],[Schule_Dauer]]*5+Tabelle2[[#This Row],[Kletterarena_Dauer]]+Tabelle2[[#This Row],[Großeltern_Dauer]]</f>
        <v>169</v>
      </c>
    </row>
    <row r="56" spans="1:20" x14ac:dyDescent="0.2">
      <c r="A56" s="1">
        <v>185</v>
      </c>
      <c r="B56" s="2" t="s">
        <v>225</v>
      </c>
      <c r="C56" s="2">
        <v>51.0555235</v>
      </c>
      <c r="D56" s="2">
        <v>13.815454600000001</v>
      </c>
      <c r="E56" s="2" t="s">
        <v>44</v>
      </c>
      <c r="F56" s="2">
        <v>4.18</v>
      </c>
      <c r="G56" s="2">
        <v>9</v>
      </c>
      <c r="H56" s="2">
        <v>11.54</v>
      </c>
      <c r="I56" s="2">
        <v>24</v>
      </c>
      <c r="J56" s="2">
        <v>9.69</v>
      </c>
      <c r="K56" s="2">
        <v>19</v>
      </c>
      <c r="L56" s="2">
        <v>8.65</v>
      </c>
      <c r="M56" s="2">
        <v>19</v>
      </c>
      <c r="N56" s="2">
        <v>6.33</v>
      </c>
      <c r="O56" s="2">
        <v>12</v>
      </c>
      <c r="P56" s="2">
        <v>6.66</v>
      </c>
      <c r="Q56" s="2">
        <v>15</v>
      </c>
      <c r="R56" s="2">
        <f>SUM(F56,H56,J56,L56,N56,P56)</f>
        <v>47.05</v>
      </c>
      <c r="S56" s="3">
        <f>SUM(G56,I56,K56,M56,O56,Q56)</f>
        <v>98</v>
      </c>
      <c r="T56" s="7">
        <f>Tabelle2[[#This Row],[Robotron_Dauer]]*2+Tabelle2[[#This Row],[Schule_Dauer]]*5+Tabelle2[[#This Row],[Kletterarena_Dauer]]+Tabelle2[[#This Row],[Großeltern_Dauer]]</f>
        <v>174</v>
      </c>
    </row>
    <row r="57" spans="1:20" x14ac:dyDescent="0.2">
      <c r="A57" s="1">
        <v>49</v>
      </c>
      <c r="B57" s="2" t="s">
        <v>75</v>
      </c>
      <c r="C57" s="2">
        <v>50.968012100000003</v>
      </c>
      <c r="D57" s="2">
        <v>13.8972031</v>
      </c>
      <c r="E57" s="2" t="s">
        <v>19</v>
      </c>
      <c r="F57" s="2">
        <v>27.73</v>
      </c>
      <c r="G57" s="2">
        <v>32</v>
      </c>
      <c r="H57" s="2">
        <v>22.79</v>
      </c>
      <c r="I57" s="2">
        <v>20</v>
      </c>
      <c r="J57" s="2">
        <v>16.53</v>
      </c>
      <c r="K57" s="2">
        <v>17</v>
      </c>
      <c r="L57" s="2">
        <v>25.11</v>
      </c>
      <c r="M57" s="2">
        <v>26</v>
      </c>
      <c r="N57" s="2">
        <v>16.829999999999998</v>
      </c>
      <c r="O57" s="2">
        <v>24</v>
      </c>
      <c r="P57" s="2">
        <v>26.27</v>
      </c>
      <c r="Q57" s="2">
        <v>29</v>
      </c>
      <c r="R57" s="2">
        <f>SUM(F57,H57,J57,L57,N57,P57)</f>
        <v>135.26</v>
      </c>
      <c r="S57" s="3">
        <f>SUM(G57,I57,K57,M57,O57,Q57)</f>
        <v>148</v>
      </c>
      <c r="T57" s="7">
        <f>Tabelle2[[#This Row],[Robotron_Dauer]]*2+Tabelle2[[#This Row],[Schule_Dauer]]*5+Tabelle2[[#This Row],[Kletterarena_Dauer]]+Tabelle2[[#This Row],[Großeltern_Dauer]]</f>
        <v>175</v>
      </c>
    </row>
    <row r="58" spans="1:20" x14ac:dyDescent="0.2">
      <c r="A58" s="1">
        <v>108</v>
      </c>
      <c r="B58" s="2" t="s">
        <v>143</v>
      </c>
      <c r="C58" s="2">
        <v>51.033864399999999</v>
      </c>
      <c r="D58" s="2">
        <v>13.686003899999999</v>
      </c>
      <c r="E58" s="2" t="s">
        <v>25</v>
      </c>
      <c r="F58" s="2">
        <v>7.54</v>
      </c>
      <c r="G58" s="2">
        <v>18</v>
      </c>
      <c r="H58" s="2">
        <v>4.45</v>
      </c>
      <c r="I58" s="2">
        <v>10</v>
      </c>
      <c r="J58" s="2">
        <v>12.96</v>
      </c>
      <c r="K58" s="2">
        <v>22</v>
      </c>
      <c r="L58" s="2">
        <v>2.95</v>
      </c>
      <c r="M58" s="2">
        <v>7</v>
      </c>
      <c r="N58" s="2">
        <v>17.440000000000001</v>
      </c>
      <c r="O58" s="2">
        <v>39</v>
      </c>
      <c r="P58" s="2">
        <v>5.71</v>
      </c>
      <c r="Q58" s="2">
        <v>15</v>
      </c>
      <c r="R58" s="2">
        <f>SUM(F58,H58,J58,L58,N58,P58)</f>
        <v>51.050000000000004</v>
      </c>
      <c r="S58" s="3">
        <f>SUM(G58,I58,K58,M58,O58,Q58)</f>
        <v>111</v>
      </c>
      <c r="T58" s="7">
        <f>Tabelle2[[#This Row],[Robotron_Dauer]]*2+Tabelle2[[#This Row],[Schule_Dauer]]*5+Tabelle2[[#This Row],[Kletterarena_Dauer]]+Tabelle2[[#This Row],[Großeltern_Dauer]]</f>
        <v>176</v>
      </c>
    </row>
    <row r="59" spans="1:20" x14ac:dyDescent="0.2">
      <c r="A59" s="1">
        <v>265</v>
      </c>
      <c r="B59" s="2" t="s">
        <v>306</v>
      </c>
      <c r="C59" s="2">
        <v>50.958981700000002</v>
      </c>
      <c r="D59" s="2">
        <v>13.8819169</v>
      </c>
      <c r="E59" s="2" t="s">
        <v>90</v>
      </c>
      <c r="F59" s="2">
        <v>25.01</v>
      </c>
      <c r="G59" s="2">
        <v>32</v>
      </c>
      <c r="H59" s="2">
        <v>20.059999999999999</v>
      </c>
      <c r="I59" s="2">
        <v>21</v>
      </c>
      <c r="J59" s="2">
        <v>8.06</v>
      </c>
      <c r="K59" s="2">
        <v>15</v>
      </c>
      <c r="L59" s="2">
        <v>22.39</v>
      </c>
      <c r="M59" s="2">
        <v>27</v>
      </c>
      <c r="N59" s="2">
        <v>21.96</v>
      </c>
      <c r="O59" s="2">
        <v>32</v>
      </c>
      <c r="P59" s="2">
        <v>23.55</v>
      </c>
      <c r="Q59" s="2">
        <v>29</v>
      </c>
      <c r="R59" s="2">
        <f>SUM(F59,H59,J59,L59,N59,P59)</f>
        <v>121.03000000000002</v>
      </c>
      <c r="S59" s="3">
        <f>SUM(G59,I59,K59,M59,O59,Q59)</f>
        <v>156</v>
      </c>
      <c r="T59" s="7">
        <f>Tabelle2[[#This Row],[Robotron_Dauer]]*2+Tabelle2[[#This Row],[Schule_Dauer]]*5+Tabelle2[[#This Row],[Kletterarena_Dauer]]+Tabelle2[[#This Row],[Großeltern_Dauer]]</f>
        <v>176</v>
      </c>
    </row>
    <row r="60" spans="1:20" x14ac:dyDescent="0.2">
      <c r="A60" s="1">
        <v>241</v>
      </c>
      <c r="B60" s="2" t="s">
        <v>281</v>
      </c>
      <c r="C60" s="2">
        <v>50.988838800000003</v>
      </c>
      <c r="D60" s="2">
        <v>13.6651092</v>
      </c>
      <c r="E60" s="2" t="s">
        <v>19</v>
      </c>
      <c r="F60" s="2">
        <v>14.28</v>
      </c>
      <c r="G60" s="2">
        <v>29</v>
      </c>
      <c r="H60" s="2">
        <v>6.15</v>
      </c>
      <c r="I60" s="2">
        <v>12</v>
      </c>
      <c r="J60" s="2">
        <v>11.46</v>
      </c>
      <c r="K60" s="2">
        <v>18</v>
      </c>
      <c r="L60" s="2">
        <v>9.64</v>
      </c>
      <c r="M60" s="2">
        <v>21</v>
      </c>
      <c r="N60" s="2">
        <v>23.97</v>
      </c>
      <c r="O60" s="2">
        <v>43</v>
      </c>
      <c r="P60" s="2">
        <v>12.81</v>
      </c>
      <c r="Q60" s="2">
        <v>26</v>
      </c>
      <c r="R60" s="2">
        <f>SUM(F60,H60,J60,L60,N60,P60)</f>
        <v>78.31</v>
      </c>
      <c r="S60" s="3">
        <f>SUM(G60,I60,K60,M60,O60,Q60)</f>
        <v>149</v>
      </c>
      <c r="T60" s="7">
        <f>Tabelle2[[#This Row],[Robotron_Dauer]]*2+Tabelle2[[#This Row],[Schule_Dauer]]*5+Tabelle2[[#This Row],[Kletterarena_Dauer]]+Tabelle2[[#This Row],[Großeltern_Dauer]]</f>
        <v>178</v>
      </c>
    </row>
    <row r="61" spans="1:20" x14ac:dyDescent="0.2">
      <c r="A61" s="1">
        <v>103</v>
      </c>
      <c r="B61" s="2" t="s">
        <v>139</v>
      </c>
      <c r="C61" s="2">
        <v>51.0517447</v>
      </c>
      <c r="D61" s="2">
        <v>13.737297699999999</v>
      </c>
      <c r="E61" s="2" t="s">
        <v>17</v>
      </c>
      <c r="F61" s="2">
        <v>3.48</v>
      </c>
      <c r="G61" s="2">
        <v>9</v>
      </c>
      <c r="H61" s="2">
        <v>6.86</v>
      </c>
      <c r="I61" s="2">
        <v>16</v>
      </c>
      <c r="J61" s="2">
        <v>9.98</v>
      </c>
      <c r="K61" s="2">
        <v>22</v>
      </c>
      <c r="L61" s="2">
        <v>3.08</v>
      </c>
      <c r="M61" s="2">
        <v>8</v>
      </c>
      <c r="N61" s="2">
        <v>14.02</v>
      </c>
      <c r="O61" s="2">
        <v>30</v>
      </c>
      <c r="P61" s="2">
        <v>0.18</v>
      </c>
      <c r="Q61" s="2">
        <v>0</v>
      </c>
      <c r="R61" s="2">
        <f>SUM(F61,H61,J61,L61,N61,P61)</f>
        <v>37.6</v>
      </c>
      <c r="S61" s="3">
        <f>SUM(G61,I61,K61,M61,O61,Q61)</f>
        <v>85</v>
      </c>
      <c r="T61" s="7">
        <f>Tabelle2[[#This Row],[Robotron_Dauer]]*2+Tabelle2[[#This Row],[Schule_Dauer]]*5+Tabelle2[[#This Row],[Kletterarena_Dauer]]+Tabelle2[[#This Row],[Großeltern_Dauer]]</f>
        <v>180</v>
      </c>
    </row>
    <row r="62" spans="1:20" x14ac:dyDescent="0.2">
      <c r="A62" s="1">
        <v>159</v>
      </c>
      <c r="B62" s="2" t="s">
        <v>197</v>
      </c>
      <c r="C62" s="2">
        <v>51.041345200000002</v>
      </c>
      <c r="D62" s="2">
        <v>13.6984581</v>
      </c>
      <c r="E62" s="2" t="s">
        <v>44</v>
      </c>
      <c r="F62" s="2">
        <v>6.69</v>
      </c>
      <c r="G62" s="2">
        <v>16</v>
      </c>
      <c r="H62" s="2">
        <v>4.68</v>
      </c>
      <c r="I62" s="2">
        <v>11</v>
      </c>
      <c r="J62" s="2">
        <v>10.45</v>
      </c>
      <c r="K62" s="2">
        <v>23</v>
      </c>
      <c r="L62" s="2">
        <v>2.34</v>
      </c>
      <c r="M62" s="2">
        <v>7</v>
      </c>
      <c r="N62" s="2">
        <v>16.02</v>
      </c>
      <c r="O62" s="2">
        <v>36</v>
      </c>
      <c r="P62" s="2">
        <v>4.1399999999999997</v>
      </c>
      <c r="Q62" s="2">
        <v>12</v>
      </c>
      <c r="R62" s="2">
        <f>SUM(F62,H62,J62,L62,N62,P62)</f>
        <v>44.32</v>
      </c>
      <c r="S62" s="3">
        <f>SUM(G62,I62,K62,M62,O62,Q62)</f>
        <v>105</v>
      </c>
      <c r="T62" s="7">
        <f>Tabelle2[[#This Row],[Robotron_Dauer]]*2+Tabelle2[[#This Row],[Schule_Dauer]]*5+Tabelle2[[#This Row],[Kletterarena_Dauer]]+Tabelle2[[#This Row],[Großeltern_Dauer]]</f>
        <v>180</v>
      </c>
    </row>
    <row r="63" spans="1:20" x14ac:dyDescent="0.2">
      <c r="A63" s="1">
        <v>54</v>
      </c>
      <c r="B63" s="2" t="s">
        <v>80</v>
      </c>
      <c r="C63" s="2">
        <v>50.968580699999997</v>
      </c>
      <c r="D63" s="2">
        <v>13.930656300000001</v>
      </c>
      <c r="E63" s="2" t="s">
        <v>40</v>
      </c>
      <c r="F63" s="2">
        <v>27.92</v>
      </c>
      <c r="G63" s="2">
        <v>33</v>
      </c>
      <c r="H63" s="2">
        <v>22.97</v>
      </c>
      <c r="I63" s="2">
        <v>21</v>
      </c>
      <c r="J63" s="2">
        <v>16.71</v>
      </c>
      <c r="K63" s="2">
        <v>18</v>
      </c>
      <c r="L63" s="2">
        <v>25.3</v>
      </c>
      <c r="M63" s="2">
        <v>27</v>
      </c>
      <c r="N63" s="2">
        <v>15.11</v>
      </c>
      <c r="O63" s="2">
        <v>24</v>
      </c>
      <c r="P63" s="2">
        <v>26.45</v>
      </c>
      <c r="Q63" s="2">
        <v>30</v>
      </c>
      <c r="R63" s="2">
        <f>SUM(F63,H63,J63,L63,N63,P63)</f>
        <v>134.45999999999998</v>
      </c>
      <c r="S63" s="3">
        <f>SUM(G63,I63,K63,M63,O63,Q63)</f>
        <v>153</v>
      </c>
      <c r="T63" s="7">
        <f>Tabelle2[[#This Row],[Robotron_Dauer]]*2+Tabelle2[[#This Row],[Schule_Dauer]]*5+Tabelle2[[#This Row],[Kletterarena_Dauer]]+Tabelle2[[#This Row],[Großeltern_Dauer]]</f>
        <v>183</v>
      </c>
    </row>
    <row r="64" spans="1:20" x14ac:dyDescent="0.2">
      <c r="A64" s="1">
        <v>191</v>
      </c>
      <c r="B64" s="2" t="s">
        <v>230</v>
      </c>
      <c r="C64" s="2">
        <v>51.029988099999997</v>
      </c>
      <c r="D64" s="2">
        <v>13.8456531</v>
      </c>
      <c r="E64" s="2" t="s">
        <v>44</v>
      </c>
      <c r="F64" s="2">
        <v>8.01</v>
      </c>
      <c r="G64" s="2">
        <v>17</v>
      </c>
      <c r="H64" s="2">
        <v>19.600000000000001</v>
      </c>
      <c r="I64" s="2">
        <v>29</v>
      </c>
      <c r="J64" s="2">
        <v>8.41</v>
      </c>
      <c r="K64" s="2">
        <v>17</v>
      </c>
      <c r="L64" s="2">
        <v>12.48</v>
      </c>
      <c r="M64" s="2">
        <v>27</v>
      </c>
      <c r="N64" s="2">
        <v>7.79</v>
      </c>
      <c r="O64" s="2">
        <v>15</v>
      </c>
      <c r="P64" s="2">
        <v>10.49</v>
      </c>
      <c r="Q64" s="2">
        <v>23</v>
      </c>
      <c r="R64" s="2">
        <f>SUM(F64,H64,J64,L64,N64,P64)</f>
        <v>66.78</v>
      </c>
      <c r="S64" s="3">
        <f>SUM(G64,I64,K64,M64,O64,Q64)</f>
        <v>128</v>
      </c>
      <c r="T64" s="7">
        <f>Tabelle2[[#This Row],[Robotron_Dauer]]*2+Tabelle2[[#This Row],[Schule_Dauer]]*5+Tabelle2[[#This Row],[Kletterarena_Dauer]]+Tabelle2[[#This Row],[Großeltern_Dauer]]</f>
        <v>185</v>
      </c>
    </row>
    <row r="65" spans="1:20" x14ac:dyDescent="0.2">
      <c r="A65" s="1">
        <v>15</v>
      </c>
      <c r="B65" s="2" t="s">
        <v>35</v>
      </c>
      <c r="C65" s="2">
        <v>51.058844299999997</v>
      </c>
      <c r="D65" s="2">
        <v>13.714757000000001</v>
      </c>
      <c r="E65" s="2" t="s">
        <v>19</v>
      </c>
      <c r="F65" s="2">
        <v>5.03</v>
      </c>
      <c r="G65" s="2">
        <v>12</v>
      </c>
      <c r="H65" s="2">
        <v>6.93</v>
      </c>
      <c r="I65" s="2">
        <v>16</v>
      </c>
      <c r="J65" s="2">
        <v>10.66</v>
      </c>
      <c r="K65" s="2">
        <v>23</v>
      </c>
      <c r="L65" s="2">
        <v>3.2</v>
      </c>
      <c r="M65" s="2">
        <v>8</v>
      </c>
      <c r="N65" s="2">
        <v>14.37</v>
      </c>
      <c r="O65" s="2">
        <v>31</v>
      </c>
      <c r="P65" s="2">
        <v>2.74</v>
      </c>
      <c r="Q65" s="2">
        <v>8</v>
      </c>
      <c r="R65" s="2">
        <f>SUM(F65,H65,J65,L65,N65,P65)</f>
        <v>42.93</v>
      </c>
      <c r="S65" s="3">
        <f>SUM(G65,I65,K65,M65,O65,Q65)</f>
        <v>98</v>
      </c>
      <c r="T65" s="7">
        <f>Tabelle2[[#This Row],[Robotron_Dauer]]*2+Tabelle2[[#This Row],[Schule_Dauer]]*5+Tabelle2[[#This Row],[Kletterarena_Dauer]]+Tabelle2[[#This Row],[Großeltern_Dauer]]</f>
        <v>186</v>
      </c>
    </row>
    <row r="66" spans="1:20" x14ac:dyDescent="0.2">
      <c r="A66" s="1">
        <v>190</v>
      </c>
      <c r="B66" s="2" t="s">
        <v>229</v>
      </c>
      <c r="C66" s="2">
        <v>51.002844199999998</v>
      </c>
      <c r="D66" s="2">
        <v>13.895449599999999</v>
      </c>
      <c r="E66" s="2" t="s">
        <v>44</v>
      </c>
      <c r="F66" s="2">
        <v>12.77</v>
      </c>
      <c r="G66" s="2">
        <v>25</v>
      </c>
      <c r="H66" s="2">
        <v>26.51</v>
      </c>
      <c r="I66" s="2">
        <v>23</v>
      </c>
      <c r="J66" s="2">
        <v>8.75</v>
      </c>
      <c r="K66" s="2">
        <v>18</v>
      </c>
      <c r="L66" s="2">
        <v>28.83</v>
      </c>
      <c r="M66" s="2">
        <v>30</v>
      </c>
      <c r="N66" s="2">
        <v>11.68</v>
      </c>
      <c r="O66" s="2">
        <v>20</v>
      </c>
      <c r="P66" s="2">
        <v>14.13</v>
      </c>
      <c r="Q66" s="2">
        <v>30</v>
      </c>
      <c r="R66" s="2">
        <f>SUM(F66,H66,J66,L66,N66,P66)</f>
        <v>102.66999999999999</v>
      </c>
      <c r="S66" s="3">
        <f>SUM(G66,I66,K66,M66,O66,Q66)</f>
        <v>146</v>
      </c>
      <c r="T66" s="7">
        <f>Tabelle2[[#This Row],[Robotron_Dauer]]*2+Tabelle2[[#This Row],[Schule_Dauer]]*5+Tabelle2[[#This Row],[Kletterarena_Dauer]]+Tabelle2[[#This Row],[Großeltern_Dauer]]</f>
        <v>186</v>
      </c>
    </row>
    <row r="67" spans="1:20" x14ac:dyDescent="0.2">
      <c r="A67" s="1">
        <v>50</v>
      </c>
      <c r="B67" s="2" t="s">
        <v>76</v>
      </c>
      <c r="C67" s="2">
        <v>51.006077599999998</v>
      </c>
      <c r="D67" s="2">
        <v>13.944476399999999</v>
      </c>
      <c r="E67" s="2" t="s">
        <v>40</v>
      </c>
      <c r="F67" s="2">
        <v>18.8</v>
      </c>
      <c r="G67" s="2">
        <v>33</v>
      </c>
      <c r="H67" s="2">
        <v>26.68</v>
      </c>
      <c r="I67" s="2">
        <v>22</v>
      </c>
      <c r="J67" s="2">
        <v>20.43</v>
      </c>
      <c r="K67" s="2">
        <v>19</v>
      </c>
      <c r="L67" s="2">
        <v>29.01</v>
      </c>
      <c r="M67" s="2">
        <v>28</v>
      </c>
      <c r="N67" s="2">
        <v>10.32</v>
      </c>
      <c r="O67" s="2">
        <v>19</v>
      </c>
      <c r="P67" s="2">
        <v>30.17</v>
      </c>
      <c r="Q67" s="2">
        <v>31</v>
      </c>
      <c r="R67" s="2">
        <f>SUM(F67,H67,J67,L67,N67,P67)</f>
        <v>135.41000000000003</v>
      </c>
      <c r="S67" s="3">
        <f>SUM(G67,I67,K67,M67,O67,Q67)</f>
        <v>152</v>
      </c>
      <c r="T67" s="7">
        <f>Tabelle2[[#This Row],[Robotron_Dauer]]*2+Tabelle2[[#This Row],[Schule_Dauer]]*5+Tabelle2[[#This Row],[Kletterarena_Dauer]]+Tabelle2[[#This Row],[Großeltern_Dauer]]</f>
        <v>186</v>
      </c>
    </row>
    <row r="68" spans="1:20" x14ac:dyDescent="0.2">
      <c r="A68" s="1">
        <v>180</v>
      </c>
      <c r="B68" s="2" t="s">
        <v>220</v>
      </c>
      <c r="C68" s="2">
        <v>51.0600782</v>
      </c>
      <c r="D68" s="2">
        <v>13.7446283</v>
      </c>
      <c r="E68" s="2" t="s">
        <v>19</v>
      </c>
      <c r="F68" s="2">
        <v>2.0299999999999998</v>
      </c>
      <c r="G68" s="2">
        <v>5</v>
      </c>
      <c r="H68" s="2">
        <v>9.3000000000000007</v>
      </c>
      <c r="I68" s="2">
        <v>20</v>
      </c>
      <c r="J68" s="2">
        <v>10.27</v>
      </c>
      <c r="K68" s="2">
        <v>22</v>
      </c>
      <c r="L68" s="2">
        <v>4.75</v>
      </c>
      <c r="M68" s="2">
        <v>12</v>
      </c>
      <c r="N68" s="2">
        <v>11.62</v>
      </c>
      <c r="O68" s="2">
        <v>25</v>
      </c>
      <c r="P68" s="2">
        <v>3.02</v>
      </c>
      <c r="Q68" s="2">
        <v>8</v>
      </c>
      <c r="R68" s="2">
        <f>SUM(F68,H68,J68,L68,N68,P68)</f>
        <v>40.99</v>
      </c>
      <c r="S68" s="3">
        <f>SUM(G68,I68,K68,M68,O68,Q68)</f>
        <v>92</v>
      </c>
      <c r="T68" s="7">
        <f>Tabelle2[[#This Row],[Robotron_Dauer]]*2+Tabelle2[[#This Row],[Schule_Dauer]]*5+Tabelle2[[#This Row],[Kletterarena_Dauer]]+Tabelle2[[#This Row],[Großeltern_Dauer]]</f>
        <v>187</v>
      </c>
    </row>
    <row r="69" spans="1:20" x14ac:dyDescent="0.2">
      <c r="A69" s="1">
        <v>289</v>
      </c>
      <c r="B69" s="2" t="s">
        <v>330</v>
      </c>
      <c r="C69" s="2">
        <v>51.026363600000003</v>
      </c>
      <c r="D69" s="2">
        <v>13.689257</v>
      </c>
      <c r="E69" s="2" t="s">
        <v>19</v>
      </c>
      <c r="F69" s="2">
        <v>7.75</v>
      </c>
      <c r="G69" s="2">
        <v>20</v>
      </c>
      <c r="H69" s="2">
        <v>4.54</v>
      </c>
      <c r="I69" s="2">
        <v>11</v>
      </c>
      <c r="J69" s="2">
        <v>13.05</v>
      </c>
      <c r="K69" s="2">
        <v>23</v>
      </c>
      <c r="L69" s="2">
        <v>3.16</v>
      </c>
      <c r="M69" s="2">
        <v>9</v>
      </c>
      <c r="N69" s="2">
        <v>18.36</v>
      </c>
      <c r="O69" s="2">
        <v>41</v>
      </c>
      <c r="P69" s="2">
        <v>5.92</v>
      </c>
      <c r="Q69" s="2">
        <v>17</v>
      </c>
      <c r="R69" s="2">
        <f>SUM(F69,H69,J69,L69,N69,P69)</f>
        <v>52.78</v>
      </c>
      <c r="S69" s="3">
        <f>SUM(G69,I69,K69,M69,O69,Q69)</f>
        <v>121</v>
      </c>
      <c r="T69" s="7">
        <f>Tabelle2[[#This Row],[Robotron_Dauer]]*2+Tabelle2[[#This Row],[Schule_Dauer]]*5+Tabelle2[[#This Row],[Kletterarena_Dauer]]+Tabelle2[[#This Row],[Großeltern_Dauer]]</f>
        <v>187</v>
      </c>
    </row>
    <row r="70" spans="1:20" x14ac:dyDescent="0.2">
      <c r="A70" s="1">
        <v>46</v>
      </c>
      <c r="B70" s="2" t="s">
        <v>72</v>
      </c>
      <c r="C70" s="2">
        <v>51.012744599999998</v>
      </c>
      <c r="D70" s="2">
        <v>13.895884799999999</v>
      </c>
      <c r="E70" s="2" t="s">
        <v>44</v>
      </c>
      <c r="F70" s="2">
        <v>12.32</v>
      </c>
      <c r="G70" s="2">
        <v>24</v>
      </c>
      <c r="H70" s="2">
        <v>19.48</v>
      </c>
      <c r="I70" s="2">
        <v>28</v>
      </c>
      <c r="J70" s="2">
        <v>8.3000000000000007</v>
      </c>
      <c r="K70" s="2">
        <v>17</v>
      </c>
      <c r="L70" s="2">
        <v>16.059999999999999</v>
      </c>
      <c r="M70" s="2">
        <v>33</v>
      </c>
      <c r="N70" s="2">
        <v>7.78</v>
      </c>
      <c r="O70" s="2">
        <v>14</v>
      </c>
      <c r="P70" s="2">
        <v>13.68</v>
      </c>
      <c r="Q70" s="2">
        <v>29</v>
      </c>
      <c r="R70" s="2">
        <f>SUM(F70,H70,J70,L70,N70,P70)</f>
        <v>77.62</v>
      </c>
      <c r="S70" s="3">
        <f>SUM(G70,I70,K70,M70,O70,Q70)</f>
        <v>145</v>
      </c>
      <c r="T70" s="7">
        <f>Tabelle2[[#This Row],[Robotron_Dauer]]*2+Tabelle2[[#This Row],[Schule_Dauer]]*5+Tabelle2[[#This Row],[Kletterarena_Dauer]]+Tabelle2[[#This Row],[Großeltern_Dauer]]</f>
        <v>188</v>
      </c>
    </row>
    <row r="71" spans="1:20" x14ac:dyDescent="0.2">
      <c r="A71" s="1">
        <v>20</v>
      </c>
      <c r="B71" s="2" t="s">
        <v>41</v>
      </c>
      <c r="C71" s="2">
        <v>51.017419699999998</v>
      </c>
      <c r="D71" s="2">
        <v>13.954224399999999</v>
      </c>
      <c r="E71" s="2" t="s">
        <v>42</v>
      </c>
      <c r="F71" s="2">
        <v>20.58</v>
      </c>
      <c r="G71" s="2">
        <v>34</v>
      </c>
      <c r="H71" s="2">
        <v>28.47</v>
      </c>
      <c r="I71" s="2">
        <v>23</v>
      </c>
      <c r="J71" s="2">
        <v>22.21</v>
      </c>
      <c r="K71" s="2">
        <v>20</v>
      </c>
      <c r="L71" s="2">
        <v>30.79</v>
      </c>
      <c r="M71" s="2">
        <v>30</v>
      </c>
      <c r="N71" s="2">
        <v>7.77</v>
      </c>
      <c r="O71" s="2">
        <v>14</v>
      </c>
      <c r="P71" s="2">
        <v>31.95</v>
      </c>
      <c r="Q71" s="2">
        <v>32</v>
      </c>
      <c r="R71" s="2">
        <f>SUM(F71,H71,J71,L71,N71,P71)</f>
        <v>141.76999999999998</v>
      </c>
      <c r="S71" s="3">
        <f>SUM(G71,I71,K71,M71,O71,Q71)</f>
        <v>153</v>
      </c>
      <c r="T71" s="7">
        <f>Tabelle2[[#This Row],[Robotron_Dauer]]*2+Tabelle2[[#This Row],[Schule_Dauer]]*5+Tabelle2[[#This Row],[Kletterarena_Dauer]]+Tabelle2[[#This Row],[Großeltern_Dauer]]</f>
        <v>190</v>
      </c>
    </row>
    <row r="72" spans="1:20" x14ac:dyDescent="0.2">
      <c r="A72" s="1">
        <v>188</v>
      </c>
      <c r="B72" s="2" t="s">
        <v>227</v>
      </c>
      <c r="C72" s="2">
        <v>51.068999499999997</v>
      </c>
      <c r="D72" s="2">
        <v>13.7747478</v>
      </c>
      <c r="E72" s="2" t="s">
        <v>44</v>
      </c>
      <c r="F72" s="2">
        <v>2.1</v>
      </c>
      <c r="G72" s="2">
        <v>5</v>
      </c>
      <c r="H72" s="2">
        <v>10.89</v>
      </c>
      <c r="I72" s="2">
        <v>23</v>
      </c>
      <c r="J72" s="2">
        <v>11.07</v>
      </c>
      <c r="K72" s="2">
        <v>22</v>
      </c>
      <c r="L72" s="2">
        <v>6.61</v>
      </c>
      <c r="M72" s="2">
        <v>16</v>
      </c>
      <c r="N72" s="2">
        <v>9.1999999999999993</v>
      </c>
      <c r="O72" s="2">
        <v>19</v>
      </c>
      <c r="P72" s="2">
        <v>4.6100000000000003</v>
      </c>
      <c r="Q72" s="2">
        <v>11</v>
      </c>
      <c r="R72" s="2">
        <f>SUM(F72,H72,J72,L72,N72,P72)</f>
        <v>44.480000000000004</v>
      </c>
      <c r="S72" s="3">
        <f>SUM(G72,I72,K72,M72,O72,Q72)</f>
        <v>96</v>
      </c>
      <c r="T72" s="7">
        <f>Tabelle2[[#This Row],[Robotron_Dauer]]*2+Tabelle2[[#This Row],[Schule_Dauer]]*5+Tabelle2[[#This Row],[Kletterarena_Dauer]]+Tabelle2[[#This Row],[Großeltern_Dauer]]</f>
        <v>191</v>
      </c>
    </row>
    <row r="73" spans="1:20" x14ac:dyDescent="0.2">
      <c r="A73" s="1">
        <v>209</v>
      </c>
      <c r="B73" s="2" t="s">
        <v>248</v>
      </c>
      <c r="C73" s="2">
        <v>51.033095899999999</v>
      </c>
      <c r="D73" s="2">
        <v>13.675536299999999</v>
      </c>
      <c r="E73" s="2" t="s">
        <v>44</v>
      </c>
      <c r="F73" s="2">
        <v>8.44</v>
      </c>
      <c r="G73" s="2">
        <v>21</v>
      </c>
      <c r="H73" s="2">
        <v>5.52</v>
      </c>
      <c r="I73" s="2">
        <v>12</v>
      </c>
      <c r="J73" s="2">
        <v>14.03</v>
      </c>
      <c r="K73" s="2">
        <v>24</v>
      </c>
      <c r="L73" s="2">
        <v>4.0199999999999996</v>
      </c>
      <c r="M73" s="2">
        <v>10</v>
      </c>
      <c r="N73" s="2">
        <v>17.77</v>
      </c>
      <c r="O73" s="2">
        <v>40</v>
      </c>
      <c r="P73" s="2">
        <v>5.89</v>
      </c>
      <c r="Q73" s="2">
        <v>16</v>
      </c>
      <c r="R73" s="2">
        <f>SUM(F73,H73,J73,L73,N73,P73)</f>
        <v>55.67</v>
      </c>
      <c r="S73" s="3">
        <f>SUM(G73,I73,K73,M73,O73,Q73)</f>
        <v>123</v>
      </c>
      <c r="T73" s="7">
        <f>Tabelle2[[#This Row],[Robotron_Dauer]]*2+Tabelle2[[#This Row],[Schule_Dauer]]*5+Tabelle2[[#This Row],[Kletterarena_Dauer]]+Tabelle2[[#This Row],[Großeltern_Dauer]]</f>
        <v>194</v>
      </c>
    </row>
    <row r="74" spans="1:20" x14ac:dyDescent="0.2">
      <c r="A74" s="1">
        <v>247</v>
      </c>
      <c r="B74" s="2" t="s">
        <v>287</v>
      </c>
      <c r="C74" s="2">
        <v>51.013148200000003</v>
      </c>
      <c r="D74" s="2">
        <v>13.662625999999999</v>
      </c>
      <c r="E74" s="2" t="s">
        <v>19</v>
      </c>
      <c r="F74" s="2">
        <v>10.93</v>
      </c>
      <c r="G74" s="2">
        <v>26</v>
      </c>
      <c r="H74" s="2">
        <v>4.03</v>
      </c>
      <c r="I74" s="2">
        <v>9</v>
      </c>
      <c r="J74" s="2">
        <v>13.92</v>
      </c>
      <c r="K74" s="2">
        <v>23</v>
      </c>
      <c r="L74" s="2">
        <v>6.22</v>
      </c>
      <c r="M74" s="2">
        <v>16</v>
      </c>
      <c r="N74" s="2">
        <v>22.62</v>
      </c>
      <c r="O74" s="2">
        <v>45</v>
      </c>
      <c r="P74" s="2">
        <v>9.4600000000000009</v>
      </c>
      <c r="Q74" s="2">
        <v>23</v>
      </c>
      <c r="R74" s="2">
        <f>SUM(F74,H74,J74,L74,N74,P74)</f>
        <v>67.180000000000007</v>
      </c>
      <c r="S74" s="3">
        <f>SUM(G74,I74,K74,M74,O74,Q74)</f>
        <v>142</v>
      </c>
      <c r="T74" s="7">
        <f>Tabelle2[[#This Row],[Robotron_Dauer]]*2+Tabelle2[[#This Row],[Schule_Dauer]]*5+Tabelle2[[#This Row],[Kletterarena_Dauer]]+Tabelle2[[#This Row],[Großeltern_Dauer]]</f>
        <v>194</v>
      </c>
    </row>
    <row r="75" spans="1:20" x14ac:dyDescent="0.2">
      <c r="A75" s="1">
        <v>243</v>
      </c>
      <c r="B75" s="2" t="s">
        <v>283</v>
      </c>
      <c r="C75" s="2">
        <v>50.996102399999998</v>
      </c>
      <c r="D75" s="2">
        <v>13.6456544</v>
      </c>
      <c r="E75" s="2" t="s">
        <v>19</v>
      </c>
      <c r="F75" s="2">
        <v>13.49</v>
      </c>
      <c r="G75" s="2">
        <v>30</v>
      </c>
      <c r="H75" s="2">
        <v>5.57</v>
      </c>
      <c r="I75" s="2">
        <v>11</v>
      </c>
      <c r="J75" s="2">
        <v>13.24</v>
      </c>
      <c r="K75" s="2">
        <v>21</v>
      </c>
      <c r="L75" s="2">
        <v>9.0500000000000007</v>
      </c>
      <c r="M75" s="2">
        <v>20</v>
      </c>
      <c r="N75" s="2">
        <v>25.75</v>
      </c>
      <c r="O75" s="2">
        <v>47</v>
      </c>
      <c r="P75" s="2">
        <v>12.03</v>
      </c>
      <c r="Q75" s="2">
        <v>27</v>
      </c>
      <c r="R75" s="2">
        <f>SUM(F75,H75,J75,L75,N75,P75)</f>
        <v>79.13000000000001</v>
      </c>
      <c r="S75" s="3">
        <f>SUM(G75,I75,K75,M75,O75,Q75)</f>
        <v>156</v>
      </c>
      <c r="T75" s="7">
        <f>Tabelle2[[#This Row],[Robotron_Dauer]]*2+Tabelle2[[#This Row],[Schule_Dauer]]*5+Tabelle2[[#This Row],[Kletterarena_Dauer]]+Tabelle2[[#This Row],[Großeltern_Dauer]]</f>
        <v>194</v>
      </c>
    </row>
    <row r="76" spans="1:20" x14ac:dyDescent="0.2">
      <c r="A76" s="1">
        <v>192</v>
      </c>
      <c r="B76" s="2" t="s">
        <v>231</v>
      </c>
      <c r="C76" s="2">
        <v>51.038206700000003</v>
      </c>
      <c r="D76" s="2">
        <v>13.831467200000001</v>
      </c>
      <c r="E76" s="2" t="s">
        <v>44</v>
      </c>
      <c r="F76" s="2">
        <v>6.26</v>
      </c>
      <c r="G76" s="2">
        <v>13</v>
      </c>
      <c r="H76" s="2">
        <v>13.63</v>
      </c>
      <c r="I76" s="2">
        <v>28</v>
      </c>
      <c r="J76" s="2">
        <v>9.69</v>
      </c>
      <c r="K76" s="2">
        <v>20</v>
      </c>
      <c r="L76" s="2">
        <v>10.73</v>
      </c>
      <c r="M76" s="2">
        <v>23</v>
      </c>
      <c r="N76" s="2">
        <v>8.85</v>
      </c>
      <c r="O76" s="2">
        <v>17</v>
      </c>
      <c r="P76" s="2">
        <v>8.74</v>
      </c>
      <c r="Q76" s="2">
        <v>18</v>
      </c>
      <c r="R76" s="2">
        <f>SUM(F76,H76,J76,L76,N76,P76)</f>
        <v>57.900000000000006</v>
      </c>
      <c r="S76" s="3">
        <f>SUM(G76,I76,K76,M76,O76,Q76)</f>
        <v>119</v>
      </c>
      <c r="T76" s="7">
        <f>Tabelle2[[#This Row],[Robotron_Dauer]]*2+Tabelle2[[#This Row],[Schule_Dauer]]*5+Tabelle2[[#This Row],[Kletterarena_Dauer]]+Tabelle2[[#This Row],[Großeltern_Dauer]]</f>
        <v>196</v>
      </c>
    </row>
    <row r="77" spans="1:20" x14ac:dyDescent="0.2">
      <c r="A77" s="1">
        <v>181</v>
      </c>
      <c r="B77" s="2" t="s">
        <v>221</v>
      </c>
      <c r="C77" s="2">
        <v>51.067185799999997</v>
      </c>
      <c r="D77" s="2">
        <v>13.752811299999999</v>
      </c>
      <c r="E77" s="2" t="s">
        <v>19</v>
      </c>
      <c r="F77" s="2">
        <v>2.69</v>
      </c>
      <c r="G77" s="2">
        <v>7</v>
      </c>
      <c r="H77" s="2">
        <v>9.9700000000000006</v>
      </c>
      <c r="I77" s="2">
        <v>22</v>
      </c>
      <c r="J77" s="2">
        <v>10.94</v>
      </c>
      <c r="K77" s="2">
        <v>23</v>
      </c>
      <c r="L77" s="2">
        <v>5.14</v>
      </c>
      <c r="M77" s="2">
        <v>14</v>
      </c>
      <c r="N77" s="2">
        <v>11.41</v>
      </c>
      <c r="O77" s="2">
        <v>24</v>
      </c>
      <c r="P77" s="2">
        <v>3.69</v>
      </c>
      <c r="Q77" s="2">
        <v>10</v>
      </c>
      <c r="R77" s="2">
        <f>SUM(F77,H77,J77,L77,N77,P77)</f>
        <v>43.84</v>
      </c>
      <c r="S77" s="3">
        <f>SUM(G77,I77,K77,M77,O77,Q77)</f>
        <v>100</v>
      </c>
      <c r="T77" s="7">
        <f>Tabelle2[[#This Row],[Robotron_Dauer]]*2+Tabelle2[[#This Row],[Schule_Dauer]]*5+Tabelle2[[#This Row],[Kletterarena_Dauer]]+Tabelle2[[#This Row],[Großeltern_Dauer]]</f>
        <v>197</v>
      </c>
    </row>
    <row r="78" spans="1:20" x14ac:dyDescent="0.2">
      <c r="A78" s="1">
        <v>2</v>
      </c>
      <c r="B78" s="2" t="s">
        <v>20</v>
      </c>
      <c r="C78" s="2">
        <v>51.032224499999998</v>
      </c>
      <c r="D78" s="2">
        <v>13.5942849</v>
      </c>
      <c r="E78" s="2" t="s">
        <v>19</v>
      </c>
      <c r="F78" s="2">
        <v>18.760000000000002</v>
      </c>
      <c r="G78" s="2">
        <v>28</v>
      </c>
      <c r="H78" s="2">
        <v>14.45</v>
      </c>
      <c r="I78" s="2">
        <v>18</v>
      </c>
      <c r="J78" s="2">
        <v>18.48</v>
      </c>
      <c r="K78" s="2">
        <v>20</v>
      </c>
      <c r="L78" s="2">
        <v>11.58</v>
      </c>
      <c r="M78" s="2">
        <v>21</v>
      </c>
      <c r="N78" s="2">
        <v>53.28</v>
      </c>
      <c r="O78" s="2">
        <v>41</v>
      </c>
      <c r="P78" s="2">
        <v>12.15</v>
      </c>
      <c r="Q78" s="2">
        <v>24</v>
      </c>
      <c r="R78" s="2">
        <f>SUM(F78,H78,J78,L78,N78,P78)</f>
        <v>128.69999999999999</v>
      </c>
      <c r="S78" s="3">
        <f>SUM(G78,I78,K78,M78,O78,Q78)</f>
        <v>152</v>
      </c>
      <c r="T78" s="7">
        <f>Tabelle2[[#This Row],[Robotron_Dauer]]*2+Tabelle2[[#This Row],[Schule_Dauer]]*5+Tabelle2[[#This Row],[Kletterarena_Dauer]]+Tabelle2[[#This Row],[Großeltern_Dauer]]</f>
        <v>198</v>
      </c>
    </row>
    <row r="79" spans="1:20" x14ac:dyDescent="0.2">
      <c r="A79" s="1">
        <v>14</v>
      </c>
      <c r="B79" s="2" t="s">
        <v>34</v>
      </c>
      <c r="C79" s="2">
        <v>51.057737799999998</v>
      </c>
      <c r="D79" s="2">
        <v>13.6824944</v>
      </c>
      <c r="E79" s="2" t="s">
        <v>25</v>
      </c>
      <c r="F79" s="2">
        <v>7.37</v>
      </c>
      <c r="G79" s="2">
        <v>16</v>
      </c>
      <c r="H79" s="2">
        <v>7.34</v>
      </c>
      <c r="I79" s="2">
        <v>15</v>
      </c>
      <c r="J79" s="2">
        <v>12.03</v>
      </c>
      <c r="K79" s="2">
        <v>25</v>
      </c>
      <c r="L79" s="2">
        <v>4.29</v>
      </c>
      <c r="M79" s="2">
        <v>9</v>
      </c>
      <c r="N79" s="2">
        <v>16.7</v>
      </c>
      <c r="O79" s="2">
        <v>35</v>
      </c>
      <c r="P79" s="2">
        <v>5.07</v>
      </c>
      <c r="Q79" s="2">
        <v>11</v>
      </c>
      <c r="R79" s="2">
        <f>SUM(F79,H79,J79,L79,N79,P79)</f>
        <v>52.800000000000004</v>
      </c>
      <c r="S79" s="3">
        <f>SUM(G79,I79,K79,M79,O79,Q79)</f>
        <v>111</v>
      </c>
      <c r="T79" s="7">
        <f>Tabelle2[[#This Row],[Robotron_Dauer]]*2+Tabelle2[[#This Row],[Schule_Dauer]]*5+Tabelle2[[#This Row],[Kletterarena_Dauer]]+Tabelle2[[#This Row],[Großeltern_Dauer]]</f>
        <v>199</v>
      </c>
    </row>
    <row r="80" spans="1:20" x14ac:dyDescent="0.2">
      <c r="A80" s="1">
        <v>13</v>
      </c>
      <c r="B80" s="2" t="s">
        <v>33</v>
      </c>
      <c r="C80" s="2">
        <v>51.0340852</v>
      </c>
      <c r="D80" s="2">
        <v>13.645414499999999</v>
      </c>
      <c r="E80" s="2" t="s">
        <v>25</v>
      </c>
      <c r="F80" s="2">
        <v>11.22</v>
      </c>
      <c r="G80" s="2">
        <v>24</v>
      </c>
      <c r="H80" s="2">
        <v>6.7</v>
      </c>
      <c r="I80" s="2">
        <v>16</v>
      </c>
      <c r="J80" s="2">
        <v>19.89</v>
      </c>
      <c r="K80" s="2">
        <v>22</v>
      </c>
      <c r="L80" s="2">
        <v>6.68</v>
      </c>
      <c r="M80" s="2">
        <v>16</v>
      </c>
      <c r="N80" s="2">
        <v>54.01</v>
      </c>
      <c r="O80" s="2">
        <v>42</v>
      </c>
      <c r="P80" s="2">
        <v>8.64</v>
      </c>
      <c r="Q80" s="2">
        <v>19</v>
      </c>
      <c r="R80" s="2">
        <f>SUM(F80,H80,J80,L80,N80,P80)</f>
        <v>107.14</v>
      </c>
      <c r="S80" s="3">
        <f>SUM(G80,I80,K80,M80,O80,Q80)</f>
        <v>139</v>
      </c>
      <c r="T80" s="7">
        <f>Tabelle2[[#This Row],[Robotron_Dauer]]*2+Tabelle2[[#This Row],[Schule_Dauer]]*5+Tabelle2[[#This Row],[Kletterarena_Dauer]]+Tabelle2[[#This Row],[Großeltern_Dauer]]</f>
        <v>200</v>
      </c>
    </row>
    <row r="81" spans="1:20" x14ac:dyDescent="0.2">
      <c r="A81" s="1">
        <v>252</v>
      </c>
      <c r="B81" s="2" t="s">
        <v>292</v>
      </c>
      <c r="C81" s="2">
        <v>51.031278</v>
      </c>
      <c r="D81" s="2">
        <v>13.6341871</v>
      </c>
      <c r="E81" s="2" t="s">
        <v>293</v>
      </c>
      <c r="F81" s="2">
        <v>12.4</v>
      </c>
      <c r="G81" s="2">
        <v>26</v>
      </c>
      <c r="H81" s="2">
        <v>7.94</v>
      </c>
      <c r="I81" s="2">
        <v>18</v>
      </c>
      <c r="J81" s="2">
        <v>19.260000000000002</v>
      </c>
      <c r="K81" s="2">
        <v>21</v>
      </c>
      <c r="L81" s="2">
        <v>9.25</v>
      </c>
      <c r="M81" s="2">
        <v>18</v>
      </c>
      <c r="N81" s="2">
        <v>53.38</v>
      </c>
      <c r="O81" s="2">
        <v>41</v>
      </c>
      <c r="P81" s="2">
        <v>9.83</v>
      </c>
      <c r="Q81" s="2">
        <v>21</v>
      </c>
      <c r="R81" s="2">
        <f>SUM(F81,H81,J81,L81,N81,P81)</f>
        <v>112.06</v>
      </c>
      <c r="S81" s="3">
        <f>SUM(G81,I81,K81,M81,O81,Q81)</f>
        <v>145</v>
      </c>
      <c r="T81" s="7">
        <f>Tabelle2[[#This Row],[Robotron_Dauer]]*2+Tabelle2[[#This Row],[Schule_Dauer]]*5+Tabelle2[[#This Row],[Kletterarena_Dauer]]+Tabelle2[[#This Row],[Großeltern_Dauer]]</f>
        <v>200</v>
      </c>
    </row>
    <row r="82" spans="1:20" x14ac:dyDescent="0.2">
      <c r="A82" s="1">
        <v>143</v>
      </c>
      <c r="B82" s="2" t="s">
        <v>180</v>
      </c>
      <c r="C82" s="2">
        <v>50.994145699999997</v>
      </c>
      <c r="D82" s="2">
        <v>13.882815600000001</v>
      </c>
      <c r="E82" s="2" t="s">
        <v>44</v>
      </c>
      <c r="F82" s="2">
        <v>12.85</v>
      </c>
      <c r="G82" s="2">
        <v>27</v>
      </c>
      <c r="H82" s="2">
        <v>28.02</v>
      </c>
      <c r="I82" s="2">
        <v>26</v>
      </c>
      <c r="J82" s="2">
        <v>8.83</v>
      </c>
      <c r="K82" s="2">
        <v>19</v>
      </c>
      <c r="L82" s="2">
        <v>30.35</v>
      </c>
      <c r="M82" s="2">
        <v>33</v>
      </c>
      <c r="N82" s="2">
        <v>11.76</v>
      </c>
      <c r="O82" s="2">
        <v>21</v>
      </c>
      <c r="P82" s="2">
        <v>14.21</v>
      </c>
      <c r="Q82" s="2">
        <v>31</v>
      </c>
      <c r="R82" s="2">
        <f>SUM(F82,H82,J82,L82,N82,P82)</f>
        <v>106.02000000000001</v>
      </c>
      <c r="S82" s="3">
        <f>SUM(G82,I82,K82,M82,O82,Q82)</f>
        <v>157</v>
      </c>
      <c r="T82" s="7">
        <f>Tabelle2[[#This Row],[Robotron_Dauer]]*2+Tabelle2[[#This Row],[Schule_Dauer]]*5+Tabelle2[[#This Row],[Kletterarena_Dauer]]+Tabelle2[[#This Row],[Großeltern_Dauer]]</f>
        <v>201</v>
      </c>
    </row>
    <row r="83" spans="1:20" x14ac:dyDescent="0.2">
      <c r="A83" s="1">
        <v>245</v>
      </c>
      <c r="B83" s="2" t="s">
        <v>285</v>
      </c>
      <c r="C83" s="2">
        <v>50.989746199999999</v>
      </c>
      <c r="D83" s="2">
        <v>13.652177200000001</v>
      </c>
      <c r="E83" s="2" t="s">
        <v>19</v>
      </c>
      <c r="F83" s="2">
        <v>15.55</v>
      </c>
      <c r="G83" s="2">
        <v>32</v>
      </c>
      <c r="H83" s="2">
        <v>6.3</v>
      </c>
      <c r="I83" s="2">
        <v>14</v>
      </c>
      <c r="J83" s="2">
        <v>12.74</v>
      </c>
      <c r="K83" s="2">
        <v>21</v>
      </c>
      <c r="L83" s="2">
        <v>9.7899999999999991</v>
      </c>
      <c r="M83" s="2">
        <v>22</v>
      </c>
      <c r="N83" s="2">
        <v>25.24</v>
      </c>
      <c r="O83" s="2">
        <v>46</v>
      </c>
      <c r="P83" s="2">
        <v>14.09</v>
      </c>
      <c r="Q83" s="2">
        <v>29</v>
      </c>
      <c r="R83" s="2">
        <f>SUM(F83,H83,J83,L83,N83,P83)</f>
        <v>83.710000000000008</v>
      </c>
      <c r="S83" s="3">
        <f>SUM(G83,I83,K83,M83,O83,Q83)</f>
        <v>164</v>
      </c>
      <c r="T83" s="7">
        <f>Tabelle2[[#This Row],[Robotron_Dauer]]*2+Tabelle2[[#This Row],[Schule_Dauer]]*5+Tabelle2[[#This Row],[Kletterarena_Dauer]]+Tabelle2[[#This Row],[Großeltern_Dauer]]</f>
        <v>201</v>
      </c>
    </row>
    <row r="84" spans="1:20" x14ac:dyDescent="0.2">
      <c r="A84" s="1">
        <v>9</v>
      </c>
      <c r="B84" s="2" t="s">
        <v>29</v>
      </c>
      <c r="C84" s="2">
        <v>51.028110499999997</v>
      </c>
      <c r="D84" s="2">
        <v>13.653966799999999</v>
      </c>
      <c r="E84" s="2" t="s">
        <v>19</v>
      </c>
      <c r="F84" s="2">
        <v>10.029999999999999</v>
      </c>
      <c r="G84" s="2">
        <v>24</v>
      </c>
      <c r="H84" s="2">
        <v>5.63</v>
      </c>
      <c r="I84" s="2">
        <v>13</v>
      </c>
      <c r="J84" s="2">
        <v>20.85</v>
      </c>
      <c r="K84" s="2">
        <v>24</v>
      </c>
      <c r="L84" s="2">
        <v>5.61</v>
      </c>
      <c r="M84" s="2">
        <v>13</v>
      </c>
      <c r="N84" s="2">
        <v>19.36</v>
      </c>
      <c r="O84" s="2">
        <v>43</v>
      </c>
      <c r="P84" s="2">
        <v>7.49</v>
      </c>
      <c r="Q84" s="2">
        <v>19</v>
      </c>
      <c r="R84" s="2">
        <f>SUM(F84,H84,J84,L84,N84,P84)</f>
        <v>68.97</v>
      </c>
      <c r="S84" s="3">
        <f>SUM(G84,I84,K84,M84,O84,Q84)</f>
        <v>136</v>
      </c>
      <c r="T84" s="7">
        <f>Tabelle2[[#This Row],[Robotron_Dauer]]*2+Tabelle2[[#This Row],[Schule_Dauer]]*5+Tabelle2[[#This Row],[Kletterarena_Dauer]]+Tabelle2[[#This Row],[Großeltern_Dauer]]</f>
        <v>202</v>
      </c>
    </row>
    <row r="85" spans="1:20" x14ac:dyDescent="0.2">
      <c r="A85" s="1">
        <v>98</v>
      </c>
      <c r="B85" s="2" t="s">
        <v>134</v>
      </c>
      <c r="C85" s="2">
        <v>51.016264999999997</v>
      </c>
      <c r="D85" s="2">
        <v>13.653032899999999</v>
      </c>
      <c r="E85" s="2" t="s">
        <v>19</v>
      </c>
      <c r="F85" s="2">
        <v>11.08</v>
      </c>
      <c r="G85" s="2">
        <v>26</v>
      </c>
      <c r="H85" s="2">
        <v>4.46</v>
      </c>
      <c r="I85" s="2">
        <v>10</v>
      </c>
      <c r="J85" s="2">
        <v>14.35</v>
      </c>
      <c r="K85" s="2">
        <v>24</v>
      </c>
      <c r="L85" s="2">
        <v>6.37</v>
      </c>
      <c r="M85" s="2">
        <v>16</v>
      </c>
      <c r="N85" s="2">
        <v>21.42</v>
      </c>
      <c r="O85" s="2">
        <v>46</v>
      </c>
      <c r="P85" s="2">
        <v>9.6199999999999992</v>
      </c>
      <c r="Q85" s="2">
        <v>23</v>
      </c>
      <c r="R85" s="2">
        <f>SUM(F85,H85,J85,L85,N85,P85)</f>
        <v>67.3</v>
      </c>
      <c r="S85" s="3">
        <f>SUM(G85,I85,K85,M85,O85,Q85)</f>
        <v>145</v>
      </c>
      <c r="T85" s="7">
        <f>Tabelle2[[#This Row],[Robotron_Dauer]]*2+Tabelle2[[#This Row],[Schule_Dauer]]*5+Tabelle2[[#This Row],[Kletterarena_Dauer]]+Tabelle2[[#This Row],[Großeltern_Dauer]]</f>
        <v>202</v>
      </c>
    </row>
    <row r="86" spans="1:20" x14ac:dyDescent="0.2">
      <c r="A86" s="1">
        <v>151</v>
      </c>
      <c r="B86" s="2" t="s">
        <v>189</v>
      </c>
      <c r="C86" s="2">
        <v>51.025582800000002</v>
      </c>
      <c r="D86" s="2">
        <v>13.627640400000001</v>
      </c>
      <c r="E86" s="2" t="s">
        <v>19</v>
      </c>
      <c r="F86" s="2">
        <v>13.29</v>
      </c>
      <c r="G86" s="2">
        <v>28</v>
      </c>
      <c r="H86" s="2">
        <v>6.96</v>
      </c>
      <c r="I86" s="2">
        <v>16</v>
      </c>
      <c r="J86" s="2">
        <v>20.190000000000001</v>
      </c>
      <c r="K86" s="2">
        <v>22</v>
      </c>
      <c r="L86" s="2">
        <v>7.58</v>
      </c>
      <c r="M86" s="2">
        <v>17</v>
      </c>
      <c r="N86" s="2">
        <v>54.27</v>
      </c>
      <c r="O86" s="2">
        <v>43</v>
      </c>
      <c r="P86" s="2">
        <v>10.71</v>
      </c>
      <c r="Q86" s="2">
        <v>23</v>
      </c>
      <c r="R86" s="2">
        <f>SUM(F86,H86,J86,L86,N86,P86)</f>
        <v>113</v>
      </c>
      <c r="S86" s="3">
        <f>SUM(G86,I86,K86,M86,O86,Q86)</f>
        <v>149</v>
      </c>
      <c r="T86" s="7">
        <f>Tabelle2[[#This Row],[Robotron_Dauer]]*2+Tabelle2[[#This Row],[Schule_Dauer]]*5+Tabelle2[[#This Row],[Kletterarena_Dauer]]+Tabelle2[[#This Row],[Großeltern_Dauer]]</f>
        <v>202</v>
      </c>
    </row>
    <row r="87" spans="1:20" x14ac:dyDescent="0.2">
      <c r="A87" s="1">
        <v>47</v>
      </c>
      <c r="B87" s="2" t="s">
        <v>73</v>
      </c>
      <c r="C87" s="2">
        <v>51.017980799999997</v>
      </c>
      <c r="D87" s="2">
        <v>13.9119487</v>
      </c>
      <c r="E87" s="2" t="s">
        <v>17</v>
      </c>
      <c r="F87" s="2">
        <v>13.76</v>
      </c>
      <c r="G87" s="2">
        <v>27</v>
      </c>
      <c r="H87" s="2">
        <v>20.92</v>
      </c>
      <c r="I87" s="2">
        <v>31</v>
      </c>
      <c r="J87" s="2">
        <v>9.73</v>
      </c>
      <c r="K87" s="2">
        <v>19</v>
      </c>
      <c r="L87" s="2">
        <v>17.489999999999998</v>
      </c>
      <c r="M87" s="2">
        <v>36</v>
      </c>
      <c r="N87" s="2">
        <v>6.3</v>
      </c>
      <c r="O87" s="2">
        <v>11</v>
      </c>
      <c r="P87" s="2">
        <v>15.11</v>
      </c>
      <c r="Q87" s="2">
        <v>31</v>
      </c>
      <c r="R87" s="2">
        <f>SUM(F87,H87,J87,L87,N87,P87)</f>
        <v>83.309999999999988</v>
      </c>
      <c r="S87" s="3">
        <f>SUM(G87,I87,K87,M87,O87,Q87)</f>
        <v>155</v>
      </c>
      <c r="T87" s="7">
        <f>Tabelle2[[#This Row],[Robotron_Dauer]]*2+Tabelle2[[#This Row],[Schule_Dauer]]*5+Tabelle2[[#This Row],[Kletterarena_Dauer]]+Tabelle2[[#This Row],[Großeltern_Dauer]]</f>
        <v>204</v>
      </c>
    </row>
    <row r="88" spans="1:20" x14ac:dyDescent="0.2">
      <c r="A88" s="1">
        <v>19</v>
      </c>
      <c r="B88" s="2" t="s">
        <v>40</v>
      </c>
      <c r="C88" s="2">
        <v>50.961692300000003</v>
      </c>
      <c r="D88" s="2">
        <v>13.938664299999999</v>
      </c>
      <c r="E88" s="2" t="s">
        <v>19</v>
      </c>
      <c r="F88" s="2">
        <v>27.26</v>
      </c>
      <c r="G88" s="2">
        <v>34</v>
      </c>
      <c r="H88" s="2">
        <v>22.31</v>
      </c>
      <c r="I88" s="2">
        <v>23</v>
      </c>
      <c r="J88" s="2">
        <v>16.05</v>
      </c>
      <c r="K88" s="2">
        <v>20</v>
      </c>
      <c r="L88" s="2">
        <v>24.64</v>
      </c>
      <c r="M88" s="2">
        <v>29</v>
      </c>
      <c r="N88" s="2">
        <v>18.63</v>
      </c>
      <c r="O88" s="2">
        <v>29</v>
      </c>
      <c r="P88" s="2">
        <v>25.79</v>
      </c>
      <c r="Q88" s="2">
        <v>31</v>
      </c>
      <c r="R88" s="2">
        <f>SUM(F88,H88,J88,L88,N88,P88)</f>
        <v>134.68</v>
      </c>
      <c r="S88" s="3">
        <f>SUM(G88,I88,K88,M88,O88,Q88)</f>
        <v>166</v>
      </c>
      <c r="T88" s="7">
        <f>Tabelle2[[#This Row],[Robotron_Dauer]]*2+Tabelle2[[#This Row],[Schule_Dauer]]*5+Tabelle2[[#This Row],[Kletterarena_Dauer]]+Tabelle2[[#This Row],[Großeltern_Dauer]]</f>
        <v>204</v>
      </c>
    </row>
    <row r="89" spans="1:20" x14ac:dyDescent="0.2">
      <c r="A89" s="1">
        <v>189</v>
      </c>
      <c r="B89" s="2" t="s">
        <v>228</v>
      </c>
      <c r="C89" s="2">
        <v>51.064158599999999</v>
      </c>
      <c r="D89" s="2">
        <v>13.822687800000001</v>
      </c>
      <c r="E89" s="2" t="s">
        <v>44</v>
      </c>
      <c r="F89" s="2">
        <v>5.35</v>
      </c>
      <c r="G89" s="2">
        <v>12</v>
      </c>
      <c r="H89" s="2">
        <v>13.11</v>
      </c>
      <c r="I89" s="2">
        <v>28</v>
      </c>
      <c r="J89" s="2">
        <v>11.26</v>
      </c>
      <c r="K89" s="2">
        <v>23</v>
      </c>
      <c r="L89" s="2">
        <v>10.210000000000001</v>
      </c>
      <c r="M89" s="2">
        <v>23</v>
      </c>
      <c r="N89" s="2">
        <v>5.58</v>
      </c>
      <c r="O89" s="2">
        <v>11</v>
      </c>
      <c r="P89" s="2">
        <v>8.01</v>
      </c>
      <c r="Q89" s="2">
        <v>18</v>
      </c>
      <c r="R89" s="2">
        <f>SUM(F89,H89,J89,L89,N89,P89)</f>
        <v>53.519999999999996</v>
      </c>
      <c r="S89" s="3">
        <f>SUM(G89,I89,K89,M89,O89,Q89)</f>
        <v>115</v>
      </c>
      <c r="T89" s="7">
        <f>Tabelle2[[#This Row],[Robotron_Dauer]]*2+Tabelle2[[#This Row],[Schule_Dauer]]*5+Tabelle2[[#This Row],[Kletterarena_Dauer]]+Tabelle2[[#This Row],[Großeltern_Dauer]]</f>
        <v>205</v>
      </c>
    </row>
    <row r="90" spans="1:20" x14ac:dyDescent="0.2">
      <c r="A90" s="1">
        <v>5</v>
      </c>
      <c r="B90" s="2" t="s">
        <v>24</v>
      </c>
      <c r="C90" s="2">
        <v>51.0435315</v>
      </c>
      <c r="D90" s="2">
        <v>13.637716599999999</v>
      </c>
      <c r="E90" s="2" t="s">
        <v>25</v>
      </c>
      <c r="F90" s="2">
        <v>11.31</v>
      </c>
      <c r="G90" s="2">
        <v>23</v>
      </c>
      <c r="H90" s="2">
        <v>8.98</v>
      </c>
      <c r="I90" s="2">
        <v>19</v>
      </c>
      <c r="J90" s="2">
        <v>19.52</v>
      </c>
      <c r="K90" s="2">
        <v>22</v>
      </c>
      <c r="L90" s="2">
        <v>8.16</v>
      </c>
      <c r="M90" s="2">
        <v>15</v>
      </c>
      <c r="N90" s="2">
        <v>53.65</v>
      </c>
      <c r="O90" s="2">
        <v>42</v>
      </c>
      <c r="P90" s="2">
        <v>8.73</v>
      </c>
      <c r="Q90" s="2">
        <v>19</v>
      </c>
      <c r="R90" s="2">
        <f>SUM(F90,H90,J90,L90,N90,P90)</f>
        <v>110.35000000000001</v>
      </c>
      <c r="S90" s="3">
        <f>SUM(G90,I90,K90,M90,O90,Q90)</f>
        <v>140</v>
      </c>
      <c r="T90" s="7">
        <f>Tabelle2[[#This Row],[Robotron_Dauer]]*2+Tabelle2[[#This Row],[Schule_Dauer]]*5+Tabelle2[[#This Row],[Kletterarena_Dauer]]+Tabelle2[[#This Row],[Großeltern_Dauer]]</f>
        <v>205</v>
      </c>
    </row>
    <row r="91" spans="1:20" x14ac:dyDescent="0.2">
      <c r="A91" s="1">
        <v>250</v>
      </c>
      <c r="B91" s="2" t="s">
        <v>290</v>
      </c>
      <c r="C91" s="2">
        <v>51.007034699999998</v>
      </c>
      <c r="D91" s="2">
        <v>13.647535400000001</v>
      </c>
      <c r="E91" s="2" t="s">
        <v>19</v>
      </c>
      <c r="F91" s="2">
        <v>11.94</v>
      </c>
      <c r="G91" s="2">
        <v>28</v>
      </c>
      <c r="H91" s="2">
        <v>5.17</v>
      </c>
      <c r="I91" s="2">
        <v>10</v>
      </c>
      <c r="J91" s="2">
        <v>14.06</v>
      </c>
      <c r="K91" s="2">
        <v>24</v>
      </c>
      <c r="L91" s="2">
        <v>7.23</v>
      </c>
      <c r="M91" s="2">
        <v>19</v>
      </c>
      <c r="N91" s="2">
        <v>24.05</v>
      </c>
      <c r="O91" s="2">
        <v>47</v>
      </c>
      <c r="P91" s="2">
        <v>10.47</v>
      </c>
      <c r="Q91" s="2">
        <v>26</v>
      </c>
      <c r="R91" s="2">
        <f>SUM(F91,H91,J91,L91,N91,P91)</f>
        <v>72.92</v>
      </c>
      <c r="S91" s="3">
        <f>SUM(G91,I91,K91,M91,O91,Q91)</f>
        <v>154</v>
      </c>
      <c r="T91" s="7">
        <f>Tabelle2[[#This Row],[Robotron_Dauer]]*2+Tabelle2[[#This Row],[Schule_Dauer]]*5+Tabelle2[[#This Row],[Kletterarena_Dauer]]+Tabelle2[[#This Row],[Großeltern_Dauer]]</f>
        <v>206</v>
      </c>
    </row>
    <row r="92" spans="1:20" x14ac:dyDescent="0.2">
      <c r="A92" s="1">
        <v>162</v>
      </c>
      <c r="B92" s="2" t="s">
        <v>199</v>
      </c>
      <c r="C92" s="2">
        <v>51.022184600000003</v>
      </c>
      <c r="D92" s="2">
        <v>13.6157997</v>
      </c>
      <c r="E92" s="2" t="s">
        <v>19</v>
      </c>
      <c r="F92" s="2">
        <v>14.21</v>
      </c>
      <c r="G92" s="2">
        <v>30</v>
      </c>
      <c r="H92" s="2">
        <v>7.44</v>
      </c>
      <c r="I92" s="2">
        <v>17</v>
      </c>
      <c r="J92" s="2">
        <v>20.05</v>
      </c>
      <c r="K92" s="2">
        <v>22</v>
      </c>
      <c r="L92" s="2">
        <v>8.49</v>
      </c>
      <c r="M92" s="2">
        <v>19</v>
      </c>
      <c r="N92" s="2">
        <v>54.86</v>
      </c>
      <c r="O92" s="2">
        <v>43</v>
      </c>
      <c r="P92" s="2">
        <v>11.63</v>
      </c>
      <c r="Q92" s="2">
        <v>25</v>
      </c>
      <c r="R92" s="2">
        <f>SUM(F92,H92,J92,L92,N92,P92)</f>
        <v>116.68</v>
      </c>
      <c r="S92" s="3">
        <f>SUM(G92,I92,K92,M92,O92,Q92)</f>
        <v>156</v>
      </c>
      <c r="T92" s="7">
        <f>Tabelle2[[#This Row],[Robotron_Dauer]]*2+Tabelle2[[#This Row],[Schule_Dauer]]*5+Tabelle2[[#This Row],[Kletterarena_Dauer]]+Tabelle2[[#This Row],[Großeltern_Dauer]]</f>
        <v>206</v>
      </c>
    </row>
    <row r="93" spans="1:20" x14ac:dyDescent="0.2">
      <c r="A93" s="1">
        <v>138</v>
      </c>
      <c r="B93" s="2" t="s">
        <v>176</v>
      </c>
      <c r="C93" s="2">
        <v>50.979879099999998</v>
      </c>
      <c r="D93" s="2">
        <v>13.8888737</v>
      </c>
      <c r="E93" s="2" t="s">
        <v>19</v>
      </c>
      <c r="F93" s="2">
        <v>14.52</v>
      </c>
      <c r="G93" s="2">
        <v>30</v>
      </c>
      <c r="H93" s="2">
        <v>26.56</v>
      </c>
      <c r="I93" s="2">
        <v>23</v>
      </c>
      <c r="J93" s="2">
        <v>20.3</v>
      </c>
      <c r="K93" s="2">
        <v>21</v>
      </c>
      <c r="L93" s="2">
        <v>28.89</v>
      </c>
      <c r="M93" s="2">
        <v>30</v>
      </c>
      <c r="N93" s="2">
        <v>13.43</v>
      </c>
      <c r="O93" s="2">
        <v>25</v>
      </c>
      <c r="P93" s="2">
        <v>30.04</v>
      </c>
      <c r="Q93" s="2">
        <v>32</v>
      </c>
      <c r="R93" s="2">
        <f>SUM(F93,H93,J93,L93,N93,P93)</f>
        <v>133.73999999999998</v>
      </c>
      <c r="S93" s="3">
        <f>SUM(G93,I93,K93,M93,O93,Q93)</f>
        <v>161</v>
      </c>
      <c r="T93" s="7">
        <f>Tabelle2[[#This Row],[Robotron_Dauer]]*2+Tabelle2[[#This Row],[Schule_Dauer]]*5+Tabelle2[[#This Row],[Kletterarena_Dauer]]+Tabelle2[[#This Row],[Großeltern_Dauer]]</f>
        <v>206</v>
      </c>
    </row>
    <row r="94" spans="1:20" x14ac:dyDescent="0.2">
      <c r="A94" s="1">
        <v>198</v>
      </c>
      <c r="B94" s="2" t="s">
        <v>237</v>
      </c>
      <c r="C94" s="2">
        <v>51.040334199999997</v>
      </c>
      <c r="D94" s="2">
        <v>13.677730199999999</v>
      </c>
      <c r="E94" s="2" t="s">
        <v>44</v>
      </c>
      <c r="F94" s="2">
        <v>8.4700000000000006</v>
      </c>
      <c r="G94" s="2">
        <v>19</v>
      </c>
      <c r="H94" s="2">
        <v>5.96</v>
      </c>
      <c r="I94" s="2">
        <v>14</v>
      </c>
      <c r="J94" s="2">
        <v>14.46</v>
      </c>
      <c r="K94" s="2">
        <v>26</v>
      </c>
      <c r="L94" s="2">
        <v>5.32</v>
      </c>
      <c r="M94" s="2">
        <v>11</v>
      </c>
      <c r="N94" s="2">
        <v>17.8</v>
      </c>
      <c r="O94" s="2">
        <v>39</v>
      </c>
      <c r="P94" s="2">
        <v>5.89</v>
      </c>
      <c r="Q94" s="2">
        <v>15</v>
      </c>
      <c r="R94" s="2">
        <f>SUM(F94,H94,J94,L94,N94,P94)</f>
        <v>57.900000000000006</v>
      </c>
      <c r="S94" s="3">
        <f>SUM(G94,I94,K94,M94,O94,Q94)</f>
        <v>124</v>
      </c>
      <c r="T94" s="7">
        <f>Tabelle2[[#This Row],[Robotron_Dauer]]*2+Tabelle2[[#This Row],[Schule_Dauer]]*5+Tabelle2[[#This Row],[Kletterarena_Dauer]]+Tabelle2[[#This Row],[Großeltern_Dauer]]</f>
        <v>208</v>
      </c>
    </row>
    <row r="95" spans="1:20" x14ac:dyDescent="0.2">
      <c r="A95" s="1">
        <v>12</v>
      </c>
      <c r="B95" s="2" t="s">
        <v>32</v>
      </c>
      <c r="C95" s="2">
        <v>51.045189000000001</v>
      </c>
      <c r="D95" s="2">
        <v>13.6716625</v>
      </c>
      <c r="E95" s="2" t="s">
        <v>25</v>
      </c>
      <c r="F95" s="2">
        <v>8.66</v>
      </c>
      <c r="G95" s="2">
        <v>19</v>
      </c>
      <c r="H95" s="2">
        <v>7.58</v>
      </c>
      <c r="I95" s="2">
        <v>17</v>
      </c>
      <c r="J95" s="2">
        <v>22.28</v>
      </c>
      <c r="K95" s="2">
        <v>25</v>
      </c>
      <c r="L95" s="2">
        <v>5.51</v>
      </c>
      <c r="M95" s="2">
        <v>11</v>
      </c>
      <c r="N95" s="2">
        <v>18</v>
      </c>
      <c r="O95" s="2">
        <v>38</v>
      </c>
      <c r="P95" s="2">
        <v>6.09</v>
      </c>
      <c r="Q95" s="2">
        <v>15</v>
      </c>
      <c r="R95" s="2">
        <f>SUM(F95,H95,J95,L95,N95,P95)</f>
        <v>68.12</v>
      </c>
      <c r="S95" s="3">
        <f>SUM(G95,I95,K95,M95,O95,Q95)</f>
        <v>125</v>
      </c>
      <c r="T95" s="7">
        <f>Tabelle2[[#This Row],[Robotron_Dauer]]*2+Tabelle2[[#This Row],[Schule_Dauer]]*5+Tabelle2[[#This Row],[Kletterarena_Dauer]]+Tabelle2[[#This Row],[Großeltern_Dauer]]</f>
        <v>208</v>
      </c>
    </row>
    <row r="96" spans="1:20" x14ac:dyDescent="0.2">
      <c r="A96" s="1">
        <v>197</v>
      </c>
      <c r="B96" s="2" t="s">
        <v>236</v>
      </c>
      <c r="C96" s="2">
        <v>51.056499700000003</v>
      </c>
      <c r="D96" s="2">
        <v>13.671310800000001</v>
      </c>
      <c r="E96" s="2" t="s">
        <v>44</v>
      </c>
      <c r="F96" s="2">
        <v>9.0399999999999991</v>
      </c>
      <c r="G96" s="2">
        <v>19</v>
      </c>
      <c r="H96" s="2">
        <v>7.63</v>
      </c>
      <c r="I96" s="2">
        <v>17</v>
      </c>
      <c r="J96" s="2">
        <v>22.31</v>
      </c>
      <c r="K96" s="2">
        <v>25</v>
      </c>
      <c r="L96" s="2">
        <v>5.57</v>
      </c>
      <c r="M96" s="2">
        <v>11</v>
      </c>
      <c r="N96" s="2">
        <v>18.38</v>
      </c>
      <c r="O96" s="2">
        <v>38</v>
      </c>
      <c r="P96" s="2">
        <v>6.75</v>
      </c>
      <c r="Q96" s="2">
        <v>15</v>
      </c>
      <c r="R96" s="2">
        <f>SUM(F96,H96,J96,L96,N96,P96)</f>
        <v>69.679999999999993</v>
      </c>
      <c r="S96" s="3">
        <f>SUM(G96,I96,K96,M96,O96,Q96)</f>
        <v>125</v>
      </c>
      <c r="T96" s="7">
        <f>Tabelle2[[#This Row],[Robotron_Dauer]]*2+Tabelle2[[#This Row],[Schule_Dauer]]*5+Tabelle2[[#This Row],[Kletterarena_Dauer]]+Tabelle2[[#This Row],[Großeltern_Dauer]]</f>
        <v>208</v>
      </c>
    </row>
    <row r="97" spans="1:20" x14ac:dyDescent="0.2">
      <c r="A97" s="1">
        <v>4</v>
      </c>
      <c r="B97" s="2" t="s">
        <v>23</v>
      </c>
      <c r="C97" s="2">
        <v>51.044170299999998</v>
      </c>
      <c r="D97" s="2">
        <v>13.623650899999999</v>
      </c>
      <c r="E97" s="2" t="s">
        <v>17</v>
      </c>
      <c r="F97" s="2">
        <v>12.24</v>
      </c>
      <c r="G97" s="2">
        <v>25</v>
      </c>
      <c r="H97" s="2">
        <v>15.64</v>
      </c>
      <c r="I97" s="2">
        <v>20</v>
      </c>
      <c r="J97" s="2">
        <v>19.66</v>
      </c>
      <c r="K97" s="2">
        <v>22</v>
      </c>
      <c r="L97" s="2">
        <v>9.09</v>
      </c>
      <c r="M97" s="2">
        <v>17</v>
      </c>
      <c r="N97" s="2">
        <v>53.79</v>
      </c>
      <c r="O97" s="2">
        <v>42</v>
      </c>
      <c r="P97" s="2">
        <v>9.66</v>
      </c>
      <c r="Q97" s="2">
        <v>21</v>
      </c>
      <c r="R97" s="2">
        <f>SUM(F97,H97,J97,L97,N97,P97)</f>
        <v>120.08000000000001</v>
      </c>
      <c r="S97" s="3">
        <f>SUM(G97,I97,K97,M97,O97,Q97)</f>
        <v>147</v>
      </c>
      <c r="T97" s="7">
        <f>Tabelle2[[#This Row],[Robotron_Dauer]]*2+Tabelle2[[#This Row],[Schule_Dauer]]*5+Tabelle2[[#This Row],[Kletterarena_Dauer]]+Tabelle2[[#This Row],[Großeltern_Dauer]]</f>
        <v>209</v>
      </c>
    </row>
    <row r="98" spans="1:20" x14ac:dyDescent="0.2">
      <c r="A98" s="1">
        <v>43</v>
      </c>
      <c r="B98" s="2" t="s">
        <v>69</v>
      </c>
      <c r="C98" s="2">
        <v>51.037187299999999</v>
      </c>
      <c r="D98" s="2">
        <v>13.865151900000001</v>
      </c>
      <c r="E98" s="2" t="s">
        <v>44</v>
      </c>
      <c r="F98" s="2">
        <v>9.7899999999999991</v>
      </c>
      <c r="G98" s="2">
        <v>21</v>
      </c>
      <c r="H98" s="2">
        <v>21.39</v>
      </c>
      <c r="I98" s="2">
        <v>32</v>
      </c>
      <c r="J98" s="2">
        <v>10.199999999999999</v>
      </c>
      <c r="K98" s="2">
        <v>21</v>
      </c>
      <c r="L98" s="2">
        <v>14.27</v>
      </c>
      <c r="M98" s="2">
        <v>31</v>
      </c>
      <c r="N98" s="2">
        <v>5.49</v>
      </c>
      <c r="O98" s="2">
        <v>10</v>
      </c>
      <c r="P98" s="2">
        <v>12.28</v>
      </c>
      <c r="Q98" s="2">
        <v>26</v>
      </c>
      <c r="R98" s="2">
        <f>SUM(F98,H98,J98,L98,N98,P98)</f>
        <v>73.419999999999987</v>
      </c>
      <c r="S98" s="3">
        <f>SUM(G98,I98,K98,M98,O98,Q98)</f>
        <v>141</v>
      </c>
      <c r="T98" s="7">
        <f>Tabelle2[[#This Row],[Robotron_Dauer]]*2+Tabelle2[[#This Row],[Schule_Dauer]]*5+Tabelle2[[#This Row],[Kletterarena_Dauer]]+Tabelle2[[#This Row],[Großeltern_Dauer]]</f>
        <v>210</v>
      </c>
    </row>
    <row r="99" spans="1:20" x14ac:dyDescent="0.2">
      <c r="A99" s="1">
        <v>148</v>
      </c>
      <c r="B99" s="2" t="s">
        <v>185</v>
      </c>
      <c r="C99" s="2">
        <v>51.0708403</v>
      </c>
      <c r="D99" s="2">
        <v>13.664401099999999</v>
      </c>
      <c r="E99" s="2" t="s">
        <v>19</v>
      </c>
      <c r="F99" s="2">
        <v>8.89</v>
      </c>
      <c r="G99" s="2">
        <v>19</v>
      </c>
      <c r="H99" s="2">
        <v>9.51</v>
      </c>
      <c r="I99" s="2">
        <v>20</v>
      </c>
      <c r="J99" s="2">
        <v>24.79</v>
      </c>
      <c r="K99" s="2">
        <v>24</v>
      </c>
      <c r="L99" s="2">
        <v>6.46</v>
      </c>
      <c r="M99" s="2">
        <v>14</v>
      </c>
      <c r="N99" s="2">
        <v>46.92</v>
      </c>
      <c r="O99" s="2">
        <v>37</v>
      </c>
      <c r="P99" s="2">
        <v>6.6</v>
      </c>
      <c r="Q99" s="2">
        <v>15</v>
      </c>
      <c r="R99" s="2">
        <f>SUM(F99,H99,J99,L99,N99,P99)</f>
        <v>103.16999999999999</v>
      </c>
      <c r="S99" s="3">
        <f>SUM(G99,I99,K99,M99,O99,Q99)</f>
        <v>129</v>
      </c>
      <c r="T99" s="7">
        <f>Tabelle2[[#This Row],[Robotron_Dauer]]*2+Tabelle2[[#This Row],[Schule_Dauer]]*5+Tabelle2[[#This Row],[Kletterarena_Dauer]]+Tabelle2[[#This Row],[Großeltern_Dauer]]</f>
        <v>211</v>
      </c>
    </row>
    <row r="100" spans="1:20" x14ac:dyDescent="0.2">
      <c r="A100" s="1">
        <v>244</v>
      </c>
      <c r="B100" s="2" t="s">
        <v>284</v>
      </c>
      <c r="C100" s="2">
        <v>51.017457899999997</v>
      </c>
      <c r="D100" s="2">
        <v>13.639693100000001</v>
      </c>
      <c r="E100" s="2" t="s">
        <v>19</v>
      </c>
      <c r="F100" s="2">
        <v>11.87</v>
      </c>
      <c r="G100" s="2">
        <v>28</v>
      </c>
      <c r="H100" s="2">
        <v>6.31</v>
      </c>
      <c r="I100" s="2">
        <v>14</v>
      </c>
      <c r="J100" s="2">
        <v>21.21</v>
      </c>
      <c r="K100" s="2">
        <v>24</v>
      </c>
      <c r="L100" s="2">
        <v>7.45</v>
      </c>
      <c r="M100" s="2">
        <v>17</v>
      </c>
      <c r="N100" s="2">
        <v>56.02</v>
      </c>
      <c r="O100" s="2">
        <v>46</v>
      </c>
      <c r="P100" s="2">
        <v>9.33</v>
      </c>
      <c r="Q100" s="2">
        <v>24</v>
      </c>
      <c r="R100" s="2">
        <f>SUM(F100,H100,J100,L100,N100,P100)</f>
        <v>112.19000000000001</v>
      </c>
      <c r="S100" s="3">
        <f>SUM(G100,I100,K100,M100,O100,Q100)</f>
        <v>153</v>
      </c>
      <c r="T100" s="7">
        <f>Tabelle2[[#This Row],[Robotron_Dauer]]*2+Tabelle2[[#This Row],[Schule_Dauer]]*5+Tabelle2[[#This Row],[Kletterarena_Dauer]]+Tabelle2[[#This Row],[Großeltern_Dauer]]</f>
        <v>211</v>
      </c>
    </row>
    <row r="101" spans="1:20" x14ac:dyDescent="0.2">
      <c r="A101" s="1">
        <v>52</v>
      </c>
      <c r="B101" s="2" t="s">
        <v>78</v>
      </c>
      <c r="C101" s="2">
        <v>50.998643199999997</v>
      </c>
      <c r="D101" s="2">
        <v>13.958553800000001</v>
      </c>
      <c r="E101" s="2" t="s">
        <v>40</v>
      </c>
      <c r="F101" s="2">
        <v>19.5</v>
      </c>
      <c r="G101" s="2">
        <v>35</v>
      </c>
      <c r="H101" s="2">
        <v>27.39</v>
      </c>
      <c r="I101" s="2">
        <v>25</v>
      </c>
      <c r="J101" s="2">
        <v>21.13</v>
      </c>
      <c r="K101" s="2">
        <v>22</v>
      </c>
      <c r="L101" s="2">
        <v>29.71</v>
      </c>
      <c r="M101" s="2">
        <v>31</v>
      </c>
      <c r="N101" s="2">
        <v>10.39</v>
      </c>
      <c r="O101" s="2">
        <v>20</v>
      </c>
      <c r="P101" s="2">
        <v>30.87</v>
      </c>
      <c r="Q101" s="2">
        <v>33</v>
      </c>
      <c r="R101" s="2">
        <f>SUM(F101,H101,J101,L101,N101,P101)</f>
        <v>138.98999999999998</v>
      </c>
      <c r="S101" s="3">
        <f>SUM(G101,I101,K101,M101,O101,Q101)</f>
        <v>166</v>
      </c>
      <c r="T101" s="7">
        <f>Tabelle2[[#This Row],[Robotron_Dauer]]*2+Tabelle2[[#This Row],[Schule_Dauer]]*5+Tabelle2[[#This Row],[Kletterarena_Dauer]]+Tabelle2[[#This Row],[Großeltern_Dauer]]</f>
        <v>211</v>
      </c>
    </row>
    <row r="102" spans="1:20" x14ac:dyDescent="0.2">
      <c r="A102" s="1">
        <v>182</v>
      </c>
      <c r="B102" s="2" t="s">
        <v>222</v>
      </c>
      <c r="C102" s="2">
        <v>51.074271600000003</v>
      </c>
      <c r="D102" s="2">
        <v>13.7456304</v>
      </c>
      <c r="E102" s="2" t="s">
        <v>19</v>
      </c>
      <c r="F102" s="2">
        <v>3.55</v>
      </c>
      <c r="G102" s="2">
        <v>10</v>
      </c>
      <c r="H102" s="2">
        <v>9.4499999999999993</v>
      </c>
      <c r="I102" s="2">
        <v>22</v>
      </c>
      <c r="J102" s="2">
        <v>11.79</v>
      </c>
      <c r="K102" s="2">
        <v>26</v>
      </c>
      <c r="L102" s="2">
        <v>5.67</v>
      </c>
      <c r="M102" s="2">
        <v>14</v>
      </c>
      <c r="N102" s="2">
        <v>11.61</v>
      </c>
      <c r="O102" s="2">
        <v>25</v>
      </c>
      <c r="P102" s="2">
        <v>4.3899999999999997</v>
      </c>
      <c r="Q102" s="2">
        <v>12</v>
      </c>
      <c r="R102" s="2">
        <f>SUM(F102,H102,J102,L102,N102,P102)</f>
        <v>46.46</v>
      </c>
      <c r="S102" s="3">
        <f>SUM(G102,I102,K102,M102,O102,Q102)</f>
        <v>109</v>
      </c>
      <c r="T102" s="7">
        <f>Tabelle2[[#This Row],[Robotron_Dauer]]*2+Tabelle2[[#This Row],[Schule_Dauer]]*5+Tabelle2[[#This Row],[Kletterarena_Dauer]]+Tabelle2[[#This Row],[Großeltern_Dauer]]</f>
        <v>213</v>
      </c>
    </row>
    <row r="103" spans="1:20" x14ac:dyDescent="0.2">
      <c r="A103" s="1">
        <v>273</v>
      </c>
      <c r="B103" s="2" t="s">
        <v>314</v>
      </c>
      <c r="C103" s="2">
        <v>50.924616800000003</v>
      </c>
      <c r="D103" s="2">
        <v>13.9620763</v>
      </c>
      <c r="E103" s="2" t="s">
        <v>19</v>
      </c>
      <c r="F103" s="2">
        <v>28.5</v>
      </c>
      <c r="G103" s="2">
        <v>35</v>
      </c>
      <c r="H103" s="2">
        <v>23.55</v>
      </c>
      <c r="I103" s="2">
        <v>23</v>
      </c>
      <c r="J103" s="2">
        <v>17.29</v>
      </c>
      <c r="K103" s="2">
        <v>21</v>
      </c>
      <c r="L103" s="2">
        <v>25.88</v>
      </c>
      <c r="M103" s="2">
        <v>30</v>
      </c>
      <c r="N103" s="2">
        <v>22.46</v>
      </c>
      <c r="O103" s="2">
        <v>32</v>
      </c>
      <c r="P103" s="2">
        <v>27.03</v>
      </c>
      <c r="Q103" s="2">
        <v>32</v>
      </c>
      <c r="R103" s="2">
        <f>SUM(F103,H103,J103,L103,N103,P103)</f>
        <v>144.71</v>
      </c>
      <c r="S103" s="3">
        <f>SUM(G103,I103,K103,M103,O103,Q103)</f>
        <v>173</v>
      </c>
      <c r="T103" s="7">
        <f>Tabelle2[[#This Row],[Robotron_Dauer]]*2+Tabelle2[[#This Row],[Schule_Dauer]]*5+Tabelle2[[#This Row],[Kletterarena_Dauer]]+Tabelle2[[#This Row],[Großeltern_Dauer]]</f>
        <v>213</v>
      </c>
    </row>
    <row r="104" spans="1:20" x14ac:dyDescent="0.2">
      <c r="A104" s="1">
        <v>196</v>
      </c>
      <c r="B104" s="2" t="s">
        <v>235</v>
      </c>
      <c r="C104" s="2">
        <v>51.054255099999999</v>
      </c>
      <c r="D104" s="2">
        <v>13.658956399999999</v>
      </c>
      <c r="E104" s="2" t="s">
        <v>44</v>
      </c>
      <c r="F104" s="2">
        <v>9.81</v>
      </c>
      <c r="G104" s="2">
        <v>21</v>
      </c>
      <c r="H104" s="2">
        <v>8.4</v>
      </c>
      <c r="I104" s="2">
        <v>18</v>
      </c>
      <c r="J104" s="2">
        <v>21.48</v>
      </c>
      <c r="K104" s="2">
        <v>25</v>
      </c>
      <c r="L104" s="2">
        <v>6.34</v>
      </c>
      <c r="M104" s="2">
        <v>13</v>
      </c>
      <c r="N104" s="2">
        <v>19.14</v>
      </c>
      <c r="O104" s="2">
        <v>40</v>
      </c>
      <c r="P104" s="2">
        <v>7.51</v>
      </c>
      <c r="Q104" s="2">
        <v>16</v>
      </c>
      <c r="R104" s="2">
        <f>SUM(F104,H104,J104,L104,N104,P104)</f>
        <v>72.680000000000007</v>
      </c>
      <c r="S104" s="3">
        <f>SUM(G104,I104,K104,M104,O104,Q104)</f>
        <v>133</v>
      </c>
      <c r="T104" s="7">
        <f>Tabelle2[[#This Row],[Robotron_Dauer]]*2+Tabelle2[[#This Row],[Schule_Dauer]]*5+Tabelle2[[#This Row],[Kletterarena_Dauer]]+Tabelle2[[#This Row],[Großeltern_Dauer]]</f>
        <v>214</v>
      </c>
    </row>
    <row r="105" spans="1:20" x14ac:dyDescent="0.2">
      <c r="A105" s="1">
        <v>55</v>
      </c>
      <c r="B105" s="2" t="s">
        <v>81</v>
      </c>
      <c r="C105" s="2">
        <v>50.973673400000003</v>
      </c>
      <c r="D105" s="2">
        <v>13.9587007</v>
      </c>
      <c r="E105" s="2" t="s">
        <v>40</v>
      </c>
      <c r="F105" s="2">
        <v>18.670000000000002</v>
      </c>
      <c r="G105" s="2">
        <v>35</v>
      </c>
      <c r="H105" s="2">
        <v>26.85</v>
      </c>
      <c r="I105" s="2">
        <v>24</v>
      </c>
      <c r="J105" s="2">
        <v>20.6</v>
      </c>
      <c r="K105" s="2">
        <v>22</v>
      </c>
      <c r="L105" s="2">
        <v>29.18</v>
      </c>
      <c r="M105" s="2">
        <v>31</v>
      </c>
      <c r="N105" s="2">
        <v>16.18</v>
      </c>
      <c r="O105" s="2">
        <v>25</v>
      </c>
      <c r="P105" s="2">
        <v>30.34</v>
      </c>
      <c r="Q105" s="2">
        <v>33</v>
      </c>
      <c r="R105" s="2">
        <f>SUM(F105,H105,J105,L105,N105,P105)</f>
        <v>141.82000000000002</v>
      </c>
      <c r="S105" s="3">
        <f>SUM(G105,I105,K105,M105,O105,Q105)</f>
        <v>170</v>
      </c>
      <c r="T105" s="7">
        <f>Tabelle2[[#This Row],[Robotron_Dauer]]*2+Tabelle2[[#This Row],[Schule_Dauer]]*5+Tabelle2[[#This Row],[Kletterarena_Dauer]]+Tabelle2[[#This Row],[Großeltern_Dauer]]</f>
        <v>214</v>
      </c>
    </row>
    <row r="106" spans="1:20" x14ac:dyDescent="0.2">
      <c r="A106" s="1">
        <v>139</v>
      </c>
      <c r="B106" s="2" t="s">
        <v>177</v>
      </c>
      <c r="C106" s="2">
        <v>50.9884421</v>
      </c>
      <c r="D106" s="2">
        <v>13.9382506</v>
      </c>
      <c r="E106" s="2" t="s">
        <v>40</v>
      </c>
      <c r="F106" s="2">
        <v>17.760000000000002</v>
      </c>
      <c r="G106" s="2">
        <v>35</v>
      </c>
      <c r="H106" s="2">
        <v>25.95</v>
      </c>
      <c r="I106" s="2">
        <v>25</v>
      </c>
      <c r="J106" s="2">
        <v>19.690000000000001</v>
      </c>
      <c r="K106" s="2">
        <v>22</v>
      </c>
      <c r="L106" s="2">
        <v>28.27</v>
      </c>
      <c r="M106" s="2">
        <v>31</v>
      </c>
      <c r="N106" s="2">
        <v>15.27</v>
      </c>
      <c r="O106" s="2">
        <v>25</v>
      </c>
      <c r="P106" s="2">
        <v>29.43</v>
      </c>
      <c r="Q106" s="2">
        <v>33</v>
      </c>
      <c r="R106" s="2">
        <f>SUM(F106,H106,J106,L106,N106,P106)</f>
        <v>136.37</v>
      </c>
      <c r="S106" s="3">
        <f>SUM(G106,I106,K106,M106,O106,Q106)</f>
        <v>171</v>
      </c>
      <c r="T106" s="7">
        <f>Tabelle2[[#This Row],[Robotron_Dauer]]*2+Tabelle2[[#This Row],[Schule_Dauer]]*5+Tabelle2[[#This Row],[Kletterarena_Dauer]]+Tabelle2[[#This Row],[Großeltern_Dauer]]</f>
        <v>216</v>
      </c>
    </row>
    <row r="107" spans="1:20" x14ac:dyDescent="0.2">
      <c r="A107" s="1">
        <v>193</v>
      </c>
      <c r="B107" s="2" t="s">
        <v>232</v>
      </c>
      <c r="C107" s="2">
        <v>51.062588400000003</v>
      </c>
      <c r="D107" s="2">
        <v>13.851129800000001</v>
      </c>
      <c r="E107" s="2" t="s">
        <v>44</v>
      </c>
      <c r="F107" s="2">
        <v>7.04</v>
      </c>
      <c r="G107" s="2">
        <v>15</v>
      </c>
      <c r="H107" s="2">
        <v>14.41</v>
      </c>
      <c r="I107" s="2">
        <v>30</v>
      </c>
      <c r="J107" s="2">
        <v>12.56</v>
      </c>
      <c r="K107" s="2">
        <v>25</v>
      </c>
      <c r="L107" s="2">
        <v>11.51</v>
      </c>
      <c r="M107" s="2">
        <v>25</v>
      </c>
      <c r="N107" s="2">
        <v>3.75</v>
      </c>
      <c r="O107" s="2">
        <v>7</v>
      </c>
      <c r="P107" s="2">
        <v>9.5299999999999994</v>
      </c>
      <c r="Q107" s="2">
        <v>20</v>
      </c>
      <c r="R107" s="2">
        <f>SUM(F107,H107,J107,L107,N107,P107)</f>
        <v>58.8</v>
      </c>
      <c r="S107" s="3">
        <f>SUM(G107,I107,K107,M107,O107,Q107)</f>
        <v>122</v>
      </c>
      <c r="T107" s="7">
        <f>Tabelle2[[#This Row],[Robotron_Dauer]]*2+Tabelle2[[#This Row],[Schule_Dauer]]*5+Tabelle2[[#This Row],[Kletterarena_Dauer]]+Tabelle2[[#This Row],[Großeltern_Dauer]]</f>
        <v>217</v>
      </c>
    </row>
    <row r="108" spans="1:20" x14ac:dyDescent="0.2">
      <c r="A108" s="1">
        <v>6</v>
      </c>
      <c r="B108" s="2" t="s">
        <v>26</v>
      </c>
      <c r="C108" s="2">
        <v>51.056405400000003</v>
      </c>
      <c r="D108" s="2">
        <v>13.5915327</v>
      </c>
      <c r="E108" s="2" t="s">
        <v>17</v>
      </c>
      <c r="F108" s="2">
        <v>15.02</v>
      </c>
      <c r="G108" s="2">
        <v>27</v>
      </c>
      <c r="H108" s="2">
        <v>16.63</v>
      </c>
      <c r="I108" s="2">
        <v>21</v>
      </c>
      <c r="J108" s="2">
        <v>20.66</v>
      </c>
      <c r="K108" s="2">
        <v>22</v>
      </c>
      <c r="L108" s="2">
        <v>12.23</v>
      </c>
      <c r="M108" s="2">
        <v>21</v>
      </c>
      <c r="N108" s="2">
        <v>55.46</v>
      </c>
      <c r="O108" s="2">
        <v>44</v>
      </c>
      <c r="P108" s="2">
        <v>12.72</v>
      </c>
      <c r="Q108" s="2">
        <v>22</v>
      </c>
      <c r="R108" s="2">
        <f>SUM(F108,H108,J108,L108,N108,P108)</f>
        <v>132.72</v>
      </c>
      <c r="S108" s="3">
        <f>SUM(G108,I108,K108,M108,O108,Q108)</f>
        <v>157</v>
      </c>
      <c r="T108" s="7">
        <f>Tabelle2[[#This Row],[Robotron_Dauer]]*2+Tabelle2[[#This Row],[Schule_Dauer]]*5+Tabelle2[[#This Row],[Kletterarena_Dauer]]+Tabelle2[[#This Row],[Großeltern_Dauer]]</f>
        <v>217</v>
      </c>
    </row>
    <row r="109" spans="1:20" x14ac:dyDescent="0.2">
      <c r="A109" s="1">
        <v>283</v>
      </c>
      <c r="B109" s="2" t="s">
        <v>324</v>
      </c>
      <c r="C109" s="2">
        <v>50.916893399999999</v>
      </c>
      <c r="D109" s="2">
        <v>13.979863099999999</v>
      </c>
      <c r="E109" s="2" t="s">
        <v>19</v>
      </c>
      <c r="F109" s="2">
        <v>33.58</v>
      </c>
      <c r="G109" s="2">
        <v>35</v>
      </c>
      <c r="H109" s="2">
        <v>28.63</v>
      </c>
      <c r="I109" s="2">
        <v>24</v>
      </c>
      <c r="J109" s="2">
        <v>22.38</v>
      </c>
      <c r="K109" s="2">
        <v>21</v>
      </c>
      <c r="L109" s="2">
        <v>30.96</v>
      </c>
      <c r="M109" s="2">
        <v>30</v>
      </c>
      <c r="N109" s="2">
        <v>24.43</v>
      </c>
      <c r="O109" s="2">
        <v>34</v>
      </c>
      <c r="P109" s="2">
        <v>32.119999999999997</v>
      </c>
      <c r="Q109" s="2">
        <v>32</v>
      </c>
      <c r="R109" s="2">
        <f>SUM(F109,H109,J109,L109,N109,P109)</f>
        <v>172.1</v>
      </c>
      <c r="S109" s="3">
        <f>SUM(G109,I109,K109,M109,O109,Q109)</f>
        <v>176</v>
      </c>
      <c r="T109" s="7">
        <f>Tabelle2[[#This Row],[Robotron_Dauer]]*2+Tabelle2[[#This Row],[Schule_Dauer]]*5+Tabelle2[[#This Row],[Kletterarena_Dauer]]+Tabelle2[[#This Row],[Großeltern_Dauer]]</f>
        <v>217</v>
      </c>
    </row>
    <row r="110" spans="1:20" x14ac:dyDescent="0.2">
      <c r="A110" s="1">
        <v>172</v>
      </c>
      <c r="B110" s="2" t="s">
        <v>210</v>
      </c>
      <c r="C110" s="2">
        <v>50.873784399999998</v>
      </c>
      <c r="D110" s="2">
        <v>13.948011299999999</v>
      </c>
      <c r="E110" s="2" t="s">
        <v>211</v>
      </c>
      <c r="F110" s="2">
        <v>33.549999999999997</v>
      </c>
      <c r="G110" s="2">
        <v>35</v>
      </c>
      <c r="H110" s="2">
        <v>28.6</v>
      </c>
      <c r="I110" s="2">
        <v>23</v>
      </c>
      <c r="J110" s="2">
        <v>22.34</v>
      </c>
      <c r="K110" s="2">
        <v>21</v>
      </c>
      <c r="L110" s="2">
        <v>30.93</v>
      </c>
      <c r="M110" s="2">
        <v>30</v>
      </c>
      <c r="N110" s="2">
        <v>27.51</v>
      </c>
      <c r="O110" s="2">
        <v>36</v>
      </c>
      <c r="P110" s="2">
        <v>32.08</v>
      </c>
      <c r="Q110" s="2">
        <v>32</v>
      </c>
      <c r="R110" s="2">
        <f>SUM(F110,H110,J110,L110,N110,P110)</f>
        <v>175.01</v>
      </c>
      <c r="S110" s="3">
        <f>SUM(G110,I110,K110,M110,O110,Q110)</f>
        <v>177</v>
      </c>
      <c r="T110" s="7">
        <f>Tabelle2[[#This Row],[Robotron_Dauer]]*2+Tabelle2[[#This Row],[Schule_Dauer]]*5+Tabelle2[[#This Row],[Kletterarena_Dauer]]+Tabelle2[[#This Row],[Großeltern_Dauer]]</f>
        <v>217</v>
      </c>
    </row>
    <row r="111" spans="1:20" x14ac:dyDescent="0.2">
      <c r="A111" s="1">
        <v>186</v>
      </c>
      <c r="B111" s="2" t="s">
        <v>226</v>
      </c>
      <c r="C111" s="2">
        <v>51.023430300000001</v>
      </c>
      <c r="D111" s="2">
        <v>13.8856378</v>
      </c>
      <c r="E111" s="2" t="s">
        <v>44</v>
      </c>
      <c r="F111" s="2">
        <v>12.24</v>
      </c>
      <c r="G111" s="2">
        <v>28</v>
      </c>
      <c r="H111" s="2">
        <v>19.41</v>
      </c>
      <c r="I111" s="2">
        <v>32</v>
      </c>
      <c r="J111" s="2">
        <v>8.2200000000000006</v>
      </c>
      <c r="K111" s="2">
        <v>21</v>
      </c>
      <c r="L111" s="2">
        <v>15.98</v>
      </c>
      <c r="M111" s="2">
        <v>37</v>
      </c>
      <c r="N111" s="2">
        <v>5.4</v>
      </c>
      <c r="O111" s="2">
        <v>12</v>
      </c>
      <c r="P111" s="2">
        <v>13.6</v>
      </c>
      <c r="Q111" s="2">
        <v>32</v>
      </c>
      <c r="R111" s="2">
        <f>SUM(F111,H111,J111,L111,N111,P111)</f>
        <v>74.849999999999994</v>
      </c>
      <c r="S111" s="3">
        <f>SUM(G111,I111,K111,M111,O111,Q111)</f>
        <v>162</v>
      </c>
      <c r="T111" s="7">
        <f>Tabelle2[[#This Row],[Robotron_Dauer]]*2+Tabelle2[[#This Row],[Schule_Dauer]]*5+Tabelle2[[#This Row],[Kletterarena_Dauer]]+Tabelle2[[#This Row],[Großeltern_Dauer]]</f>
        <v>218</v>
      </c>
    </row>
    <row r="112" spans="1:20" x14ac:dyDescent="0.2">
      <c r="A112" s="1">
        <v>144</v>
      </c>
      <c r="B112" s="2" t="s">
        <v>181</v>
      </c>
      <c r="C112" s="2">
        <v>50.966518899999997</v>
      </c>
      <c r="D112" s="2">
        <v>13.953982399999999</v>
      </c>
      <c r="E112" s="2" t="s">
        <v>40</v>
      </c>
      <c r="F112" s="2">
        <v>29.57</v>
      </c>
      <c r="G112" s="2">
        <v>36</v>
      </c>
      <c r="H112" s="2">
        <v>24.62</v>
      </c>
      <c r="I112" s="2">
        <v>25</v>
      </c>
      <c r="J112" s="2">
        <v>18.36</v>
      </c>
      <c r="K112" s="2">
        <v>22</v>
      </c>
      <c r="L112" s="2">
        <v>26.95</v>
      </c>
      <c r="M112" s="2">
        <v>31</v>
      </c>
      <c r="N112" s="2">
        <v>17.2</v>
      </c>
      <c r="O112" s="2">
        <v>27</v>
      </c>
      <c r="P112" s="2">
        <v>28.1</v>
      </c>
      <c r="Q112" s="2">
        <v>33</v>
      </c>
      <c r="R112" s="2">
        <f>SUM(F112,H112,J112,L112,N112,P112)</f>
        <v>144.80000000000001</v>
      </c>
      <c r="S112" s="3">
        <f>SUM(G112,I112,K112,M112,O112,Q112)</f>
        <v>174</v>
      </c>
      <c r="T112" s="7">
        <f>Tabelle2[[#This Row],[Robotron_Dauer]]*2+Tabelle2[[#This Row],[Schule_Dauer]]*5+Tabelle2[[#This Row],[Kletterarena_Dauer]]+Tabelle2[[#This Row],[Großeltern_Dauer]]</f>
        <v>218</v>
      </c>
    </row>
    <row r="113" spans="1:20" x14ac:dyDescent="0.2">
      <c r="A113" s="1">
        <v>105</v>
      </c>
      <c r="B113" s="2" t="s">
        <v>140</v>
      </c>
      <c r="C113" s="2">
        <v>51.043019899999997</v>
      </c>
      <c r="D113" s="2">
        <v>13.610909899999999</v>
      </c>
      <c r="E113" s="2" t="s">
        <v>141</v>
      </c>
      <c r="F113" s="2">
        <v>13.18</v>
      </c>
      <c r="G113" s="2">
        <v>27</v>
      </c>
      <c r="H113" s="2">
        <v>16.579999999999998</v>
      </c>
      <c r="I113" s="2">
        <v>21</v>
      </c>
      <c r="J113" s="2">
        <v>20.6</v>
      </c>
      <c r="K113" s="2">
        <v>23</v>
      </c>
      <c r="L113" s="2">
        <v>10.029999999999999</v>
      </c>
      <c r="M113" s="2">
        <v>19</v>
      </c>
      <c r="N113" s="2">
        <v>54.73</v>
      </c>
      <c r="O113" s="2">
        <v>43</v>
      </c>
      <c r="P113" s="2">
        <v>10.6</v>
      </c>
      <c r="Q113" s="2">
        <v>22</v>
      </c>
      <c r="R113" s="2">
        <f>SUM(F113,H113,J113,L113,N113,P113)</f>
        <v>125.72</v>
      </c>
      <c r="S113" s="3">
        <f>SUM(G113,I113,K113,M113,O113,Q113)</f>
        <v>155</v>
      </c>
      <c r="T113" s="7">
        <f>Tabelle2[[#This Row],[Robotron_Dauer]]*2+Tabelle2[[#This Row],[Schule_Dauer]]*5+Tabelle2[[#This Row],[Kletterarena_Dauer]]+Tabelle2[[#This Row],[Großeltern_Dauer]]</f>
        <v>219</v>
      </c>
    </row>
    <row r="114" spans="1:20" x14ac:dyDescent="0.2">
      <c r="A114" s="1">
        <v>109</v>
      </c>
      <c r="B114" s="2" t="s">
        <v>144</v>
      </c>
      <c r="C114" s="2">
        <v>51.053915400000001</v>
      </c>
      <c r="D114" s="2">
        <v>13.6092978</v>
      </c>
      <c r="E114" s="2" t="s">
        <v>22</v>
      </c>
      <c r="F114" s="2">
        <v>14.12</v>
      </c>
      <c r="G114" s="2">
        <v>25</v>
      </c>
      <c r="H114" s="2">
        <v>17.61</v>
      </c>
      <c r="I114" s="2">
        <v>22</v>
      </c>
      <c r="J114" s="2">
        <v>21.64</v>
      </c>
      <c r="K114" s="2">
        <v>23</v>
      </c>
      <c r="L114" s="2">
        <v>11.07</v>
      </c>
      <c r="M114" s="2">
        <v>20</v>
      </c>
      <c r="N114" s="2">
        <v>52.15</v>
      </c>
      <c r="O114" s="2">
        <v>43</v>
      </c>
      <c r="P114" s="2">
        <v>11.83</v>
      </c>
      <c r="Q114" s="2">
        <v>21</v>
      </c>
      <c r="R114" s="2">
        <f>SUM(F114,H114,J114,L114,N114,P114)</f>
        <v>128.42000000000002</v>
      </c>
      <c r="S114" s="3">
        <f>SUM(G114,I114,K114,M114,O114,Q114)</f>
        <v>154</v>
      </c>
      <c r="T114" s="7">
        <f>Tabelle2[[#This Row],[Robotron_Dauer]]*2+Tabelle2[[#This Row],[Schule_Dauer]]*5+Tabelle2[[#This Row],[Kletterarena_Dauer]]+Tabelle2[[#This Row],[Großeltern_Dauer]]</f>
        <v>222</v>
      </c>
    </row>
    <row r="115" spans="1:20" x14ac:dyDescent="0.2">
      <c r="A115" s="1">
        <v>51</v>
      </c>
      <c r="B115" s="2" t="s">
        <v>77</v>
      </c>
      <c r="C115" s="2">
        <v>50.991008000000001</v>
      </c>
      <c r="D115" s="2">
        <v>13.9459917</v>
      </c>
      <c r="E115" s="2" t="s">
        <v>40</v>
      </c>
      <c r="F115" s="2">
        <v>17.72</v>
      </c>
      <c r="G115" s="2">
        <v>35</v>
      </c>
      <c r="H115" s="2">
        <v>26.5</v>
      </c>
      <c r="I115" s="2">
        <v>25</v>
      </c>
      <c r="J115" s="2">
        <v>20.239999999999998</v>
      </c>
      <c r="K115" s="2">
        <v>23</v>
      </c>
      <c r="L115" s="2">
        <v>28.82</v>
      </c>
      <c r="M115" s="2">
        <v>32</v>
      </c>
      <c r="N115" s="2">
        <v>11.79</v>
      </c>
      <c r="O115" s="2">
        <v>25</v>
      </c>
      <c r="P115" s="2">
        <v>29.98</v>
      </c>
      <c r="Q115" s="2">
        <v>34</v>
      </c>
      <c r="R115" s="2">
        <f>SUM(F115,H115,J115,L115,N115,P115)</f>
        <v>135.04999999999998</v>
      </c>
      <c r="S115" s="3">
        <f>SUM(G115,I115,K115,M115,O115,Q115)</f>
        <v>174</v>
      </c>
      <c r="T115" s="7">
        <f>Tabelle2[[#This Row],[Robotron_Dauer]]*2+Tabelle2[[#This Row],[Schule_Dauer]]*5+Tabelle2[[#This Row],[Kletterarena_Dauer]]+Tabelle2[[#This Row],[Großeltern_Dauer]]</f>
        <v>222</v>
      </c>
    </row>
    <row r="116" spans="1:20" x14ac:dyDescent="0.2">
      <c r="A116" s="1">
        <v>174</v>
      </c>
      <c r="B116" s="2" t="s">
        <v>213</v>
      </c>
      <c r="C116" s="2">
        <v>51.071309800000002</v>
      </c>
      <c r="D116" s="2">
        <v>13.6931327</v>
      </c>
      <c r="E116" s="2" t="s">
        <v>44</v>
      </c>
      <c r="F116" s="2">
        <v>7.87</v>
      </c>
      <c r="G116" s="2">
        <v>17</v>
      </c>
      <c r="H116" s="2">
        <v>8.9700000000000006</v>
      </c>
      <c r="I116" s="2">
        <v>20</v>
      </c>
      <c r="J116" s="2">
        <v>28</v>
      </c>
      <c r="K116" s="2">
        <v>27</v>
      </c>
      <c r="L116" s="2">
        <v>5.93</v>
      </c>
      <c r="M116" s="2">
        <v>14</v>
      </c>
      <c r="N116" s="2">
        <v>43.16</v>
      </c>
      <c r="O116" s="2">
        <v>34</v>
      </c>
      <c r="P116" s="2">
        <v>5.58</v>
      </c>
      <c r="Q116" s="2">
        <v>13</v>
      </c>
      <c r="R116" s="2">
        <f>SUM(F116,H116,J116,L116,N116,P116)</f>
        <v>99.51</v>
      </c>
      <c r="S116" s="3">
        <f>SUM(G116,I116,K116,M116,O116,Q116)</f>
        <v>125</v>
      </c>
      <c r="T116" s="7">
        <f>Tabelle2[[#This Row],[Robotron_Dauer]]*2+Tabelle2[[#This Row],[Schule_Dauer]]*5+Tabelle2[[#This Row],[Kletterarena_Dauer]]+Tabelle2[[#This Row],[Großeltern_Dauer]]</f>
        <v>223</v>
      </c>
    </row>
    <row r="117" spans="1:20" x14ac:dyDescent="0.2">
      <c r="A117" s="1">
        <v>53</v>
      </c>
      <c r="B117" s="2" t="s">
        <v>79</v>
      </c>
      <c r="C117" s="2">
        <v>50.978726399999999</v>
      </c>
      <c r="D117" s="2">
        <v>13.9588033</v>
      </c>
      <c r="E117" s="2" t="s">
        <v>40</v>
      </c>
      <c r="F117" s="2">
        <v>18.91</v>
      </c>
      <c r="G117" s="2">
        <v>36</v>
      </c>
      <c r="H117" s="2">
        <v>27.09</v>
      </c>
      <c r="I117" s="2">
        <v>25</v>
      </c>
      <c r="J117" s="2">
        <v>20.83</v>
      </c>
      <c r="K117" s="2">
        <v>23</v>
      </c>
      <c r="L117" s="2">
        <v>29.42</v>
      </c>
      <c r="M117" s="2">
        <v>32</v>
      </c>
      <c r="N117" s="2">
        <v>16.41</v>
      </c>
      <c r="O117" s="2">
        <v>26</v>
      </c>
      <c r="P117" s="2">
        <v>30.57</v>
      </c>
      <c r="Q117" s="2">
        <v>34</v>
      </c>
      <c r="R117" s="2">
        <f>SUM(F117,H117,J117,L117,N117,P117)</f>
        <v>143.22999999999999</v>
      </c>
      <c r="S117" s="3">
        <f>SUM(G117,I117,K117,M117,O117,Q117)</f>
        <v>176</v>
      </c>
      <c r="T117" s="7">
        <f>Tabelle2[[#This Row],[Robotron_Dauer]]*2+Tabelle2[[#This Row],[Schule_Dauer]]*5+Tabelle2[[#This Row],[Kletterarena_Dauer]]+Tabelle2[[#This Row],[Großeltern_Dauer]]</f>
        <v>223</v>
      </c>
    </row>
    <row r="118" spans="1:20" x14ac:dyDescent="0.2">
      <c r="A118" s="1">
        <v>173</v>
      </c>
      <c r="B118" s="2" t="s">
        <v>212</v>
      </c>
      <c r="C118" s="2">
        <v>51.0843554</v>
      </c>
      <c r="D118" s="2">
        <v>13.677690500000001</v>
      </c>
      <c r="E118" s="2" t="s">
        <v>44</v>
      </c>
      <c r="F118" s="2">
        <v>8.17</v>
      </c>
      <c r="G118" s="2">
        <v>20</v>
      </c>
      <c r="H118" s="2">
        <v>22.84</v>
      </c>
      <c r="I118" s="2">
        <v>23</v>
      </c>
      <c r="J118" s="2">
        <v>26.86</v>
      </c>
      <c r="K118" s="2">
        <v>25</v>
      </c>
      <c r="L118" s="2">
        <v>8.1199999999999992</v>
      </c>
      <c r="M118" s="2">
        <v>18</v>
      </c>
      <c r="N118" s="2">
        <v>43.02</v>
      </c>
      <c r="O118" s="2">
        <v>35</v>
      </c>
      <c r="P118" s="2">
        <v>7.76</v>
      </c>
      <c r="Q118" s="2">
        <v>18</v>
      </c>
      <c r="R118" s="2">
        <f>SUM(F118,H118,J118,L118,N118,P118)</f>
        <v>116.77</v>
      </c>
      <c r="S118" s="3">
        <f>SUM(G118,I118,K118,M118,O118,Q118)</f>
        <v>139</v>
      </c>
      <c r="T118" s="7">
        <f>Tabelle2[[#This Row],[Robotron_Dauer]]*2+Tabelle2[[#This Row],[Schule_Dauer]]*5+Tabelle2[[#This Row],[Kletterarena_Dauer]]+Tabelle2[[#This Row],[Großeltern_Dauer]]</f>
        <v>224</v>
      </c>
    </row>
    <row r="119" spans="1:20" x14ac:dyDescent="0.2">
      <c r="A119" s="1">
        <v>111</v>
      </c>
      <c r="B119" s="2" t="s">
        <v>146</v>
      </c>
      <c r="C119" s="2">
        <v>51.055982200000003</v>
      </c>
      <c r="D119" s="2">
        <v>13.643917699999999</v>
      </c>
      <c r="E119" s="2" t="s">
        <v>17</v>
      </c>
      <c r="F119" s="2">
        <v>10.23</v>
      </c>
      <c r="G119" s="2">
        <v>22</v>
      </c>
      <c r="H119" s="2">
        <v>10.119999999999999</v>
      </c>
      <c r="I119" s="2">
        <v>21</v>
      </c>
      <c r="J119" s="2">
        <v>21.42</v>
      </c>
      <c r="K119" s="2">
        <v>25</v>
      </c>
      <c r="L119" s="2">
        <v>7.97</v>
      </c>
      <c r="M119" s="2">
        <v>16</v>
      </c>
      <c r="N119" s="2">
        <v>19.559999999999999</v>
      </c>
      <c r="O119" s="2">
        <v>41</v>
      </c>
      <c r="P119" s="2">
        <v>7.93</v>
      </c>
      <c r="Q119" s="2">
        <v>18</v>
      </c>
      <c r="R119" s="2">
        <f>SUM(F119,H119,J119,L119,N119,P119)</f>
        <v>77.22999999999999</v>
      </c>
      <c r="S119" s="3">
        <f>SUM(G119,I119,K119,M119,O119,Q119)</f>
        <v>143</v>
      </c>
      <c r="T119" s="7">
        <f>Tabelle2[[#This Row],[Robotron_Dauer]]*2+Tabelle2[[#This Row],[Schule_Dauer]]*5+Tabelle2[[#This Row],[Kletterarena_Dauer]]+Tabelle2[[#This Row],[Großeltern_Dauer]]</f>
        <v>224</v>
      </c>
    </row>
    <row r="120" spans="1:20" x14ac:dyDescent="0.2">
      <c r="A120" s="1">
        <v>110</v>
      </c>
      <c r="B120" s="2" t="s">
        <v>145</v>
      </c>
      <c r="C120" s="2">
        <v>51.081468800000003</v>
      </c>
      <c r="D120" s="2">
        <v>13.6578325</v>
      </c>
      <c r="E120" s="2" t="s">
        <v>19</v>
      </c>
      <c r="F120" s="2">
        <v>9.92</v>
      </c>
      <c r="G120" s="2">
        <v>22</v>
      </c>
      <c r="H120" s="2">
        <v>10.53</v>
      </c>
      <c r="I120" s="2">
        <v>23</v>
      </c>
      <c r="J120" s="2">
        <v>25.32</v>
      </c>
      <c r="K120" s="2">
        <v>25</v>
      </c>
      <c r="L120" s="2">
        <v>7.49</v>
      </c>
      <c r="M120" s="2">
        <v>16</v>
      </c>
      <c r="N120" s="2">
        <v>47.44</v>
      </c>
      <c r="O120" s="2">
        <v>38</v>
      </c>
      <c r="P120" s="2">
        <v>7.63</v>
      </c>
      <c r="Q120" s="2">
        <v>17</v>
      </c>
      <c r="R120" s="2">
        <f>SUM(F120,H120,J120,L120,N120,P120)</f>
        <v>108.32999999999998</v>
      </c>
      <c r="S120" s="3">
        <f>SUM(G120,I120,K120,M120,O120,Q120)</f>
        <v>141</v>
      </c>
      <c r="T120" s="7">
        <f>Tabelle2[[#This Row],[Robotron_Dauer]]*2+Tabelle2[[#This Row],[Schule_Dauer]]*5+Tabelle2[[#This Row],[Kletterarena_Dauer]]+Tabelle2[[#This Row],[Großeltern_Dauer]]</f>
        <v>225</v>
      </c>
    </row>
    <row r="121" spans="1:20" x14ac:dyDescent="0.2">
      <c r="A121" s="1">
        <v>141</v>
      </c>
      <c r="B121" s="2" t="s">
        <v>179</v>
      </c>
      <c r="C121" s="2">
        <v>50.984118799999997</v>
      </c>
      <c r="D121" s="2">
        <v>13.969588699999999</v>
      </c>
      <c r="E121" s="2" t="s">
        <v>83</v>
      </c>
      <c r="F121" s="2">
        <v>19.47</v>
      </c>
      <c r="G121" s="2">
        <v>36</v>
      </c>
      <c r="H121" s="2">
        <v>27.66</v>
      </c>
      <c r="I121" s="2">
        <v>26</v>
      </c>
      <c r="J121" s="2">
        <v>21.4</v>
      </c>
      <c r="K121" s="2">
        <v>23</v>
      </c>
      <c r="L121" s="2">
        <v>29.99</v>
      </c>
      <c r="M121" s="2">
        <v>32</v>
      </c>
      <c r="N121" s="2">
        <v>16.98</v>
      </c>
      <c r="O121" s="2">
        <v>26</v>
      </c>
      <c r="P121" s="2">
        <v>31.14</v>
      </c>
      <c r="Q121" s="2">
        <v>34</v>
      </c>
      <c r="R121" s="2">
        <f>SUM(F121,H121,J121,L121,N121,P121)</f>
        <v>146.63999999999999</v>
      </c>
      <c r="S121" s="3">
        <f>SUM(G121,I121,K121,M121,O121,Q121)</f>
        <v>177</v>
      </c>
      <c r="T121" s="7">
        <f>Tabelle2[[#This Row],[Robotron_Dauer]]*2+Tabelle2[[#This Row],[Schule_Dauer]]*5+Tabelle2[[#This Row],[Kletterarena_Dauer]]+Tabelle2[[#This Row],[Großeltern_Dauer]]</f>
        <v>225</v>
      </c>
    </row>
    <row r="122" spans="1:20" x14ac:dyDescent="0.2">
      <c r="A122" s="1">
        <v>113</v>
      </c>
      <c r="B122" s="2" t="s">
        <v>148</v>
      </c>
      <c r="C122" s="2">
        <v>51.063909700000004</v>
      </c>
      <c r="D122" s="2">
        <v>13.6679675</v>
      </c>
      <c r="E122" s="2" t="s">
        <v>17</v>
      </c>
      <c r="F122" s="2">
        <v>8.26</v>
      </c>
      <c r="G122" s="2">
        <v>19</v>
      </c>
      <c r="H122" s="2">
        <v>8.8699999999999992</v>
      </c>
      <c r="I122" s="2">
        <v>20</v>
      </c>
      <c r="J122" s="2">
        <v>25.75</v>
      </c>
      <c r="K122" s="2">
        <v>27</v>
      </c>
      <c r="L122" s="2">
        <v>5.83</v>
      </c>
      <c r="M122" s="2">
        <v>13</v>
      </c>
      <c r="N122" s="2">
        <v>17.59</v>
      </c>
      <c r="O122" s="2">
        <v>38</v>
      </c>
      <c r="P122" s="2">
        <v>5.96</v>
      </c>
      <c r="Q122" s="2">
        <v>14</v>
      </c>
      <c r="R122" s="2">
        <f>SUM(F122,H122,J122,L122,N122,P122)</f>
        <v>72.259999999999991</v>
      </c>
      <c r="S122" s="3">
        <f>SUM(G122,I122,K122,M122,O122,Q122)</f>
        <v>131</v>
      </c>
      <c r="T122" s="7">
        <f>Tabelle2[[#This Row],[Robotron_Dauer]]*2+Tabelle2[[#This Row],[Schule_Dauer]]*5+Tabelle2[[#This Row],[Kletterarena_Dauer]]+Tabelle2[[#This Row],[Großeltern_Dauer]]</f>
        <v>226</v>
      </c>
    </row>
    <row r="123" spans="1:20" x14ac:dyDescent="0.2">
      <c r="A123" s="1">
        <v>45</v>
      </c>
      <c r="B123" s="2" t="s">
        <v>71</v>
      </c>
      <c r="C123" s="2">
        <v>51.026096000000003</v>
      </c>
      <c r="D123" s="2">
        <v>13.882990700000001</v>
      </c>
      <c r="E123" s="2" t="s">
        <v>44</v>
      </c>
      <c r="F123" s="2">
        <v>12.03</v>
      </c>
      <c r="G123" s="2">
        <v>27</v>
      </c>
      <c r="H123" s="2">
        <v>19.86</v>
      </c>
      <c r="I123" s="2">
        <v>34</v>
      </c>
      <c r="J123" s="2">
        <v>8.68</v>
      </c>
      <c r="K123" s="2">
        <v>22</v>
      </c>
      <c r="L123" s="2">
        <v>16.5</v>
      </c>
      <c r="M123" s="2">
        <v>37</v>
      </c>
      <c r="N123" s="2">
        <v>5.22</v>
      </c>
      <c r="O123" s="2">
        <v>11</v>
      </c>
      <c r="P123" s="2">
        <v>14.51</v>
      </c>
      <c r="Q123" s="2">
        <v>32</v>
      </c>
      <c r="R123" s="2">
        <f>SUM(F123,H123,J123,L123,N123,P123)</f>
        <v>76.8</v>
      </c>
      <c r="S123" s="3">
        <f>SUM(G123,I123,K123,M123,O123,Q123)</f>
        <v>163</v>
      </c>
      <c r="T123" s="7">
        <f>Tabelle2[[#This Row],[Robotron_Dauer]]*2+Tabelle2[[#This Row],[Schule_Dauer]]*5+Tabelle2[[#This Row],[Kletterarena_Dauer]]+Tabelle2[[#This Row],[Großeltern_Dauer]]</f>
        <v>226</v>
      </c>
    </row>
    <row r="124" spans="1:20" x14ac:dyDescent="0.2">
      <c r="A124" s="1">
        <v>124</v>
      </c>
      <c r="B124" s="2" t="s">
        <v>157</v>
      </c>
      <c r="C124" s="2">
        <v>51.025309900000003</v>
      </c>
      <c r="D124" s="2">
        <v>13.9039904</v>
      </c>
      <c r="E124" s="2" t="s">
        <v>44</v>
      </c>
      <c r="F124" s="2">
        <v>13.05</v>
      </c>
      <c r="G124" s="2">
        <v>29</v>
      </c>
      <c r="H124" s="2">
        <v>21.82</v>
      </c>
      <c r="I124" s="2">
        <v>34</v>
      </c>
      <c r="J124" s="2">
        <v>10.63</v>
      </c>
      <c r="K124" s="2">
        <v>22</v>
      </c>
      <c r="L124" s="2">
        <v>18.39</v>
      </c>
      <c r="M124" s="2">
        <v>39</v>
      </c>
      <c r="N124" s="2">
        <v>4.87</v>
      </c>
      <c r="O124" s="2">
        <v>10</v>
      </c>
      <c r="P124" s="2">
        <v>15.53</v>
      </c>
      <c r="Q124" s="2">
        <v>34</v>
      </c>
      <c r="R124" s="2">
        <f>SUM(F124,H124,J124,L124,N124,P124)</f>
        <v>84.29</v>
      </c>
      <c r="S124" s="3">
        <f>SUM(G124,I124,K124,M124,O124,Q124)</f>
        <v>168</v>
      </c>
      <c r="T124" s="7">
        <f>Tabelle2[[#This Row],[Robotron_Dauer]]*2+Tabelle2[[#This Row],[Schule_Dauer]]*5+Tabelle2[[#This Row],[Kletterarena_Dauer]]+Tabelle2[[#This Row],[Großeltern_Dauer]]</f>
        <v>227</v>
      </c>
    </row>
    <row r="125" spans="1:20" x14ac:dyDescent="0.2">
      <c r="A125" s="1">
        <v>41</v>
      </c>
      <c r="B125" s="2" t="s">
        <v>67</v>
      </c>
      <c r="C125" s="2">
        <v>51.043419900000004</v>
      </c>
      <c r="D125" s="2">
        <v>13.8779892</v>
      </c>
      <c r="E125" s="2" t="s">
        <v>44</v>
      </c>
      <c r="F125" s="2">
        <v>10.02</v>
      </c>
      <c r="G125" s="2">
        <v>21</v>
      </c>
      <c r="H125" s="2">
        <v>22.77</v>
      </c>
      <c r="I125" s="2">
        <v>35</v>
      </c>
      <c r="J125" s="2">
        <v>11.58</v>
      </c>
      <c r="K125" s="2">
        <v>24</v>
      </c>
      <c r="L125" s="2">
        <v>14.49</v>
      </c>
      <c r="M125" s="2">
        <v>31</v>
      </c>
      <c r="N125" s="2">
        <v>4.25</v>
      </c>
      <c r="O125" s="2">
        <v>7</v>
      </c>
      <c r="P125" s="2">
        <v>12.5</v>
      </c>
      <c r="Q125" s="2">
        <v>27</v>
      </c>
      <c r="R125" s="2">
        <f>SUM(F125,H125,J125,L125,N125,P125)</f>
        <v>75.61</v>
      </c>
      <c r="S125" s="3">
        <f>SUM(G125,I125,K125,M125,O125,Q125)</f>
        <v>145</v>
      </c>
      <c r="T125" s="7">
        <f>Tabelle2[[#This Row],[Robotron_Dauer]]*2+Tabelle2[[#This Row],[Schule_Dauer]]*5+Tabelle2[[#This Row],[Kletterarena_Dauer]]+Tabelle2[[#This Row],[Großeltern_Dauer]]</f>
        <v>228</v>
      </c>
    </row>
    <row r="126" spans="1:20" x14ac:dyDescent="0.2">
      <c r="A126" s="1">
        <v>3</v>
      </c>
      <c r="B126" s="2" t="s">
        <v>21</v>
      </c>
      <c r="C126" s="2">
        <v>51.043765100000002</v>
      </c>
      <c r="D126" s="2">
        <v>13.6028003</v>
      </c>
      <c r="E126" s="2" t="s">
        <v>22</v>
      </c>
      <c r="F126" s="2">
        <v>15.65</v>
      </c>
      <c r="G126" s="2">
        <v>27</v>
      </c>
      <c r="H126" s="2">
        <v>17.98</v>
      </c>
      <c r="I126" s="2">
        <v>22</v>
      </c>
      <c r="J126" s="2">
        <v>22.01</v>
      </c>
      <c r="K126" s="2">
        <v>24</v>
      </c>
      <c r="L126" s="2">
        <v>10.45</v>
      </c>
      <c r="M126" s="2">
        <v>20</v>
      </c>
      <c r="N126" s="2">
        <v>55.15</v>
      </c>
      <c r="O126" s="2">
        <v>44</v>
      </c>
      <c r="P126" s="2">
        <v>13.36</v>
      </c>
      <c r="Q126" s="2">
        <v>23</v>
      </c>
      <c r="R126" s="2">
        <f>SUM(F126,H126,J126,L126,N126,P126)</f>
        <v>134.60000000000002</v>
      </c>
      <c r="S126" s="3">
        <f>SUM(G126,I126,K126,M126,O126,Q126)</f>
        <v>160</v>
      </c>
      <c r="T126" s="7">
        <f>Tabelle2[[#This Row],[Robotron_Dauer]]*2+Tabelle2[[#This Row],[Schule_Dauer]]*5+Tabelle2[[#This Row],[Kletterarena_Dauer]]+Tabelle2[[#This Row],[Großeltern_Dauer]]</f>
        <v>228</v>
      </c>
    </row>
    <row r="127" spans="1:20" x14ac:dyDescent="0.2">
      <c r="A127" s="1">
        <v>175</v>
      </c>
      <c r="B127" s="2" t="s">
        <v>214</v>
      </c>
      <c r="C127" s="2">
        <v>51.078124899999999</v>
      </c>
      <c r="D127" s="2">
        <v>13.707025399999999</v>
      </c>
      <c r="E127" s="2" t="s">
        <v>44</v>
      </c>
      <c r="F127" s="2">
        <v>5.85</v>
      </c>
      <c r="G127" s="2">
        <v>13</v>
      </c>
      <c r="H127" s="2">
        <v>10.55</v>
      </c>
      <c r="I127" s="2">
        <v>23</v>
      </c>
      <c r="J127" s="2">
        <v>28.07</v>
      </c>
      <c r="K127" s="2">
        <v>27</v>
      </c>
      <c r="L127" s="2">
        <v>6.73</v>
      </c>
      <c r="M127" s="2">
        <v>16</v>
      </c>
      <c r="N127" s="2">
        <v>14.88</v>
      </c>
      <c r="O127" s="2">
        <v>32</v>
      </c>
      <c r="P127" s="2">
        <v>5.44</v>
      </c>
      <c r="Q127" s="2">
        <v>13</v>
      </c>
      <c r="R127" s="2">
        <f>SUM(F127,H127,J127,L127,N127,P127)</f>
        <v>71.52</v>
      </c>
      <c r="S127" s="3">
        <f>SUM(G127,I127,K127,M127,O127,Q127)</f>
        <v>124</v>
      </c>
      <c r="T127" s="7">
        <f>Tabelle2[[#This Row],[Robotron_Dauer]]*2+Tabelle2[[#This Row],[Schule_Dauer]]*5+Tabelle2[[#This Row],[Kletterarena_Dauer]]+Tabelle2[[#This Row],[Großeltern_Dauer]]</f>
        <v>229</v>
      </c>
    </row>
    <row r="128" spans="1:20" x14ac:dyDescent="0.2">
      <c r="A128" s="1">
        <v>95</v>
      </c>
      <c r="B128" s="2" t="s">
        <v>130</v>
      </c>
      <c r="C128" s="2">
        <v>50.863462900000002</v>
      </c>
      <c r="D128" s="2">
        <v>13.857041300000001</v>
      </c>
      <c r="E128" s="2" t="s">
        <v>131</v>
      </c>
      <c r="F128" s="2">
        <v>33.74</v>
      </c>
      <c r="G128" s="2">
        <v>36</v>
      </c>
      <c r="H128" s="2">
        <v>28.79</v>
      </c>
      <c r="I128" s="2">
        <v>24</v>
      </c>
      <c r="J128" s="2">
        <v>22.54</v>
      </c>
      <c r="K128" s="2">
        <v>22</v>
      </c>
      <c r="L128" s="2">
        <v>31.12</v>
      </c>
      <c r="M128" s="2">
        <v>31</v>
      </c>
      <c r="N128" s="2">
        <v>34.82</v>
      </c>
      <c r="O128" s="2">
        <v>40</v>
      </c>
      <c r="P128" s="2">
        <v>32.270000000000003</v>
      </c>
      <c r="Q128" s="2">
        <v>33</v>
      </c>
      <c r="R128" s="2">
        <f>SUM(F128,H128,J128,L128,N128,P128)</f>
        <v>183.28</v>
      </c>
      <c r="S128" s="3">
        <f>SUM(G128,I128,K128,M128,O128,Q128)</f>
        <v>186</v>
      </c>
      <c r="T128" s="7">
        <f>Tabelle2[[#This Row],[Robotron_Dauer]]*2+Tabelle2[[#This Row],[Schule_Dauer]]*5+Tabelle2[[#This Row],[Kletterarena_Dauer]]+Tabelle2[[#This Row],[Großeltern_Dauer]]</f>
        <v>229</v>
      </c>
    </row>
    <row r="129" spans="1:20" x14ac:dyDescent="0.2">
      <c r="A129" s="1">
        <v>0</v>
      </c>
      <c r="B129" s="2" t="s">
        <v>16</v>
      </c>
      <c r="C129" s="2">
        <v>51.061117500000002</v>
      </c>
      <c r="D129" s="2">
        <v>13.626609800000001</v>
      </c>
      <c r="E129" s="2" t="s">
        <v>17</v>
      </c>
      <c r="F129" s="2">
        <v>12.28</v>
      </c>
      <c r="G129" s="2">
        <v>23</v>
      </c>
      <c r="H129" s="2">
        <v>19</v>
      </c>
      <c r="I129" s="2">
        <v>23</v>
      </c>
      <c r="J129" s="2">
        <v>23.02</v>
      </c>
      <c r="K129" s="2">
        <v>25</v>
      </c>
      <c r="L129" s="2">
        <v>9.85</v>
      </c>
      <c r="M129" s="2">
        <v>18</v>
      </c>
      <c r="N129" s="2">
        <v>50.31</v>
      </c>
      <c r="O129" s="2">
        <v>41</v>
      </c>
      <c r="P129" s="2">
        <v>9.99</v>
      </c>
      <c r="Q129" s="2">
        <v>19</v>
      </c>
      <c r="R129" s="2">
        <f>SUM(F129,H129,J129,L129,N129,P129)</f>
        <v>124.44999999999999</v>
      </c>
      <c r="S129" s="3">
        <f>SUM(G129,I129,K129,M129,O129,Q129)</f>
        <v>149</v>
      </c>
      <c r="T129" s="7">
        <f>Tabelle2[[#This Row],[Robotron_Dauer]]*2+Tabelle2[[#This Row],[Schule_Dauer]]*5+Tabelle2[[#This Row],[Kletterarena_Dauer]]+Tabelle2[[#This Row],[Großeltern_Dauer]]</f>
        <v>230</v>
      </c>
    </row>
    <row r="130" spans="1:20" x14ac:dyDescent="0.2">
      <c r="A130" s="1">
        <v>16</v>
      </c>
      <c r="B130" s="2" t="s">
        <v>36</v>
      </c>
      <c r="C130" s="2">
        <v>51.052412500000003</v>
      </c>
      <c r="D130" s="2">
        <v>13.5362765</v>
      </c>
      <c r="E130" s="2" t="s">
        <v>19</v>
      </c>
      <c r="F130" s="2">
        <v>20.75</v>
      </c>
      <c r="G130" s="2">
        <v>28</v>
      </c>
      <c r="H130" s="2">
        <v>22.32</v>
      </c>
      <c r="I130" s="2">
        <v>22</v>
      </c>
      <c r="J130" s="2">
        <v>26.35</v>
      </c>
      <c r="K130" s="2">
        <v>24</v>
      </c>
      <c r="L130" s="2">
        <v>18.399999999999999</v>
      </c>
      <c r="M130" s="2">
        <v>25</v>
      </c>
      <c r="N130" s="2">
        <v>55.27</v>
      </c>
      <c r="O130" s="2">
        <v>41</v>
      </c>
      <c r="P130" s="2">
        <v>20.34</v>
      </c>
      <c r="Q130" s="2">
        <v>26</v>
      </c>
      <c r="R130" s="2">
        <f>SUM(F130,H130,J130,L130,N130,P130)</f>
        <v>163.43</v>
      </c>
      <c r="S130" s="3">
        <f>SUM(G130,I130,K130,M130,O130,Q130)</f>
        <v>166</v>
      </c>
      <c r="T130" s="7">
        <f>Tabelle2[[#This Row],[Robotron_Dauer]]*2+Tabelle2[[#This Row],[Schule_Dauer]]*5+Tabelle2[[#This Row],[Kletterarena_Dauer]]+Tabelle2[[#This Row],[Großeltern_Dauer]]</f>
        <v>230</v>
      </c>
    </row>
    <row r="131" spans="1:20" x14ac:dyDescent="0.2">
      <c r="A131" s="1">
        <v>21</v>
      </c>
      <c r="B131" s="2" t="s">
        <v>43</v>
      </c>
      <c r="C131" s="2">
        <v>51.036790400000001</v>
      </c>
      <c r="D131" s="2">
        <v>13.9421865</v>
      </c>
      <c r="E131" s="2" t="s">
        <v>44</v>
      </c>
      <c r="F131" s="2">
        <v>14.98</v>
      </c>
      <c r="G131" s="2">
        <v>30</v>
      </c>
      <c r="H131" s="2">
        <v>31.7</v>
      </c>
      <c r="I131" s="2">
        <v>28</v>
      </c>
      <c r="J131" s="2">
        <v>25.44</v>
      </c>
      <c r="K131" s="2">
        <v>26</v>
      </c>
      <c r="L131" s="2">
        <v>34.020000000000003</v>
      </c>
      <c r="M131" s="2">
        <v>35</v>
      </c>
      <c r="N131" s="2">
        <v>4.8099999999999996</v>
      </c>
      <c r="O131" s="2">
        <v>10</v>
      </c>
      <c r="P131" s="2">
        <v>17.46</v>
      </c>
      <c r="Q131" s="2">
        <v>36</v>
      </c>
      <c r="R131" s="2">
        <f>SUM(F131,H131,J131,L131,N131,P131)</f>
        <v>128.41000000000003</v>
      </c>
      <c r="S131" s="3">
        <f>SUM(G131,I131,K131,M131,O131,Q131)</f>
        <v>165</v>
      </c>
      <c r="T131" s="7">
        <f>Tabelle2[[#This Row],[Robotron_Dauer]]*2+Tabelle2[[#This Row],[Schule_Dauer]]*5+Tabelle2[[#This Row],[Kletterarena_Dauer]]+Tabelle2[[#This Row],[Großeltern_Dauer]]</f>
        <v>231</v>
      </c>
    </row>
    <row r="132" spans="1:20" x14ac:dyDescent="0.2">
      <c r="A132" s="1">
        <v>242</v>
      </c>
      <c r="B132" s="2" t="s">
        <v>282</v>
      </c>
      <c r="C132" s="2">
        <v>50.983560400000002</v>
      </c>
      <c r="D132" s="2">
        <v>13.632649600000001</v>
      </c>
      <c r="E132" s="2" t="s">
        <v>19</v>
      </c>
      <c r="F132" s="2">
        <v>15.12</v>
      </c>
      <c r="G132" s="2">
        <v>34</v>
      </c>
      <c r="H132" s="2">
        <v>7.2</v>
      </c>
      <c r="I132" s="2">
        <v>16</v>
      </c>
      <c r="J132" s="2">
        <v>14.42</v>
      </c>
      <c r="K132" s="2">
        <v>25</v>
      </c>
      <c r="L132" s="2">
        <v>10.68</v>
      </c>
      <c r="M132" s="2">
        <v>24</v>
      </c>
      <c r="N132" s="2">
        <v>26.92</v>
      </c>
      <c r="O132" s="2">
        <v>50</v>
      </c>
      <c r="P132" s="2">
        <v>13.65</v>
      </c>
      <c r="Q132" s="2">
        <v>31</v>
      </c>
      <c r="R132" s="2">
        <f>SUM(F132,H132,J132,L132,N132,P132)</f>
        <v>87.990000000000009</v>
      </c>
      <c r="S132" s="3">
        <f>SUM(G132,I132,K132,M132,O132,Q132)</f>
        <v>180</v>
      </c>
      <c r="T132" s="7">
        <f>Tabelle2[[#This Row],[Robotron_Dauer]]*2+Tabelle2[[#This Row],[Schule_Dauer]]*5+Tabelle2[[#This Row],[Kletterarena_Dauer]]+Tabelle2[[#This Row],[Großeltern_Dauer]]</f>
        <v>231</v>
      </c>
    </row>
    <row r="133" spans="1:20" x14ac:dyDescent="0.2">
      <c r="A133" s="1">
        <v>48</v>
      </c>
      <c r="B133" s="2" t="s">
        <v>74</v>
      </c>
      <c r="C133" s="2">
        <v>51.040159000000003</v>
      </c>
      <c r="D133" s="2">
        <v>13.920996000000001</v>
      </c>
      <c r="E133" s="2" t="s">
        <v>44</v>
      </c>
      <c r="F133" s="2">
        <v>13.31</v>
      </c>
      <c r="G133" s="2">
        <v>27</v>
      </c>
      <c r="H133" s="2">
        <v>33.18</v>
      </c>
      <c r="I133" s="2">
        <v>32</v>
      </c>
      <c r="J133" s="2">
        <v>13.06</v>
      </c>
      <c r="K133" s="2">
        <v>25</v>
      </c>
      <c r="L133" s="2">
        <v>17.78</v>
      </c>
      <c r="M133" s="2">
        <v>37</v>
      </c>
      <c r="N133" s="2">
        <v>3.15</v>
      </c>
      <c r="O133" s="2">
        <v>6</v>
      </c>
      <c r="P133" s="2">
        <v>15.79</v>
      </c>
      <c r="Q133" s="2">
        <v>33</v>
      </c>
      <c r="R133" s="2">
        <f>SUM(F133,H133,J133,L133,N133,P133)</f>
        <v>96.27000000000001</v>
      </c>
      <c r="S133" s="3">
        <f>SUM(G133,I133,K133,M133,O133,Q133)</f>
        <v>160</v>
      </c>
      <c r="T133" s="7">
        <f>Tabelle2[[#This Row],[Robotron_Dauer]]*2+Tabelle2[[#This Row],[Schule_Dauer]]*5+Tabelle2[[#This Row],[Kletterarena_Dauer]]+Tabelle2[[#This Row],[Großeltern_Dauer]]</f>
        <v>232</v>
      </c>
    </row>
    <row r="134" spans="1:20" x14ac:dyDescent="0.2">
      <c r="A134" s="1">
        <v>157</v>
      </c>
      <c r="B134" s="2" t="s">
        <v>195</v>
      </c>
      <c r="C134" s="2">
        <v>50.956879999999998</v>
      </c>
      <c r="D134" s="2">
        <v>13.9513544</v>
      </c>
      <c r="E134" s="2" t="s">
        <v>40</v>
      </c>
      <c r="F134" s="2">
        <v>28.62</v>
      </c>
      <c r="G134" s="2">
        <v>37</v>
      </c>
      <c r="H134" s="2">
        <v>23.67</v>
      </c>
      <c r="I134" s="2">
        <v>26</v>
      </c>
      <c r="J134" s="2">
        <v>17.41</v>
      </c>
      <c r="K134" s="2">
        <v>23</v>
      </c>
      <c r="L134" s="2">
        <v>26</v>
      </c>
      <c r="M134" s="2">
        <v>32</v>
      </c>
      <c r="N134" s="2">
        <v>20.34</v>
      </c>
      <c r="O134" s="2">
        <v>33</v>
      </c>
      <c r="P134" s="2">
        <v>27.15</v>
      </c>
      <c r="Q134" s="2">
        <v>34</v>
      </c>
      <c r="R134" s="2">
        <f>SUM(F134,H134,J134,L134,N134,P134)</f>
        <v>143.19</v>
      </c>
      <c r="S134" s="3">
        <f>SUM(G134,I134,K134,M134,O134,Q134)</f>
        <v>185</v>
      </c>
      <c r="T134" s="7">
        <f>Tabelle2[[#This Row],[Robotron_Dauer]]*2+Tabelle2[[#This Row],[Schule_Dauer]]*5+Tabelle2[[#This Row],[Kletterarena_Dauer]]+Tabelle2[[#This Row],[Großeltern_Dauer]]</f>
        <v>232</v>
      </c>
    </row>
    <row r="135" spans="1:20" x14ac:dyDescent="0.2">
      <c r="A135" s="1">
        <v>123</v>
      </c>
      <c r="B135" s="2" t="s">
        <v>156</v>
      </c>
      <c r="C135" s="2">
        <v>51.032275300000002</v>
      </c>
      <c r="D135" s="2">
        <v>13.8774409</v>
      </c>
      <c r="E135" s="2" t="s">
        <v>44</v>
      </c>
      <c r="F135" s="2">
        <v>11.02</v>
      </c>
      <c r="G135" s="2">
        <v>24</v>
      </c>
      <c r="H135" s="2">
        <v>22.61</v>
      </c>
      <c r="I135" s="2">
        <v>35</v>
      </c>
      <c r="J135" s="2">
        <v>11.42</v>
      </c>
      <c r="K135" s="2">
        <v>24</v>
      </c>
      <c r="L135" s="2">
        <v>15.49</v>
      </c>
      <c r="M135" s="2">
        <v>34</v>
      </c>
      <c r="N135" s="2">
        <v>5.18</v>
      </c>
      <c r="O135" s="2">
        <v>10</v>
      </c>
      <c r="P135" s="2">
        <v>13.5</v>
      </c>
      <c r="Q135" s="2">
        <v>30</v>
      </c>
      <c r="R135" s="2">
        <f>SUM(F135,H135,J135,L135,N135,P135)</f>
        <v>79.22</v>
      </c>
      <c r="S135" s="3">
        <f>SUM(G135,I135,K135,M135,O135,Q135)</f>
        <v>157</v>
      </c>
      <c r="T135" s="7">
        <f>Tabelle2[[#This Row],[Robotron_Dauer]]*2+Tabelle2[[#This Row],[Schule_Dauer]]*5+Tabelle2[[#This Row],[Kletterarena_Dauer]]+Tabelle2[[#This Row],[Großeltern_Dauer]]</f>
        <v>234</v>
      </c>
    </row>
    <row r="136" spans="1:20" x14ac:dyDescent="0.2">
      <c r="A136" s="1">
        <v>255</v>
      </c>
      <c r="B136" s="2" t="s">
        <v>296</v>
      </c>
      <c r="C136" s="2">
        <v>51.019936000000001</v>
      </c>
      <c r="D136" s="2">
        <v>13.590634100000001</v>
      </c>
      <c r="E136" s="2" t="s">
        <v>19</v>
      </c>
      <c r="F136" s="2">
        <v>21.54</v>
      </c>
      <c r="G136" s="2">
        <v>33</v>
      </c>
      <c r="H136" s="2">
        <v>9.27</v>
      </c>
      <c r="I136" s="2">
        <v>20</v>
      </c>
      <c r="J136" s="2">
        <v>21.25</v>
      </c>
      <c r="K136" s="2">
        <v>25</v>
      </c>
      <c r="L136" s="2">
        <v>10.33</v>
      </c>
      <c r="M136" s="2">
        <v>23</v>
      </c>
      <c r="N136" s="2">
        <v>56.06</v>
      </c>
      <c r="O136" s="2">
        <v>46</v>
      </c>
      <c r="P136" s="2">
        <v>13.47</v>
      </c>
      <c r="Q136" s="2">
        <v>29</v>
      </c>
      <c r="R136" s="2">
        <f>SUM(F136,H136,J136,L136,N136,P136)</f>
        <v>131.92000000000002</v>
      </c>
      <c r="S136" s="3">
        <f>SUM(G136,I136,K136,M136,O136,Q136)</f>
        <v>176</v>
      </c>
      <c r="T136" s="7">
        <f>Tabelle2[[#This Row],[Robotron_Dauer]]*2+Tabelle2[[#This Row],[Schule_Dauer]]*5+Tabelle2[[#This Row],[Kletterarena_Dauer]]+Tabelle2[[#This Row],[Großeltern_Dauer]]</f>
        <v>234</v>
      </c>
    </row>
    <row r="137" spans="1:20" x14ac:dyDescent="0.2">
      <c r="A137" s="1">
        <v>17</v>
      </c>
      <c r="B137" s="2" t="s">
        <v>37</v>
      </c>
      <c r="C137" s="2">
        <v>51.031479099999999</v>
      </c>
      <c r="D137" s="2">
        <v>13.544504399999999</v>
      </c>
      <c r="E137" s="2" t="s">
        <v>19</v>
      </c>
      <c r="F137" s="2">
        <v>21.87</v>
      </c>
      <c r="G137" s="2">
        <v>33</v>
      </c>
      <c r="H137" s="2">
        <v>17.55</v>
      </c>
      <c r="I137" s="2">
        <v>22</v>
      </c>
      <c r="J137" s="2">
        <v>21.58</v>
      </c>
      <c r="K137" s="2">
        <v>24</v>
      </c>
      <c r="L137" s="2">
        <v>14.69</v>
      </c>
      <c r="M137" s="2">
        <v>25</v>
      </c>
      <c r="N137" s="2">
        <v>56.39</v>
      </c>
      <c r="O137" s="2">
        <v>46</v>
      </c>
      <c r="P137" s="2">
        <v>15.26</v>
      </c>
      <c r="Q137" s="2">
        <v>29</v>
      </c>
      <c r="R137" s="2">
        <f>SUM(F137,H137,J137,L137,N137,P137)</f>
        <v>147.33999999999997</v>
      </c>
      <c r="S137" s="3">
        <f>SUM(G137,I137,K137,M137,O137,Q137)</f>
        <v>179</v>
      </c>
      <c r="T137" s="7">
        <f>Tabelle2[[#This Row],[Robotron_Dauer]]*2+Tabelle2[[#This Row],[Schule_Dauer]]*5+Tabelle2[[#This Row],[Kletterarena_Dauer]]+Tabelle2[[#This Row],[Großeltern_Dauer]]</f>
        <v>235</v>
      </c>
    </row>
    <row r="138" spans="1:20" x14ac:dyDescent="0.2">
      <c r="A138" s="1">
        <v>97</v>
      </c>
      <c r="B138" s="2" t="s">
        <v>133</v>
      </c>
      <c r="C138" s="2">
        <v>50.8584186</v>
      </c>
      <c r="D138" s="2">
        <v>13.948044400000001</v>
      </c>
      <c r="E138" s="2" t="s">
        <v>131</v>
      </c>
      <c r="F138" s="2">
        <v>35.28</v>
      </c>
      <c r="G138" s="2">
        <v>37</v>
      </c>
      <c r="H138" s="2">
        <v>30.34</v>
      </c>
      <c r="I138" s="2">
        <v>25</v>
      </c>
      <c r="J138" s="2">
        <v>24.08</v>
      </c>
      <c r="K138" s="2">
        <v>23</v>
      </c>
      <c r="L138" s="2">
        <v>32.659999999999997</v>
      </c>
      <c r="M138" s="2">
        <v>32</v>
      </c>
      <c r="N138" s="2">
        <v>29.25</v>
      </c>
      <c r="O138" s="2">
        <v>38</v>
      </c>
      <c r="P138" s="2">
        <v>33.82</v>
      </c>
      <c r="Q138" s="2">
        <v>34</v>
      </c>
      <c r="R138" s="2">
        <f>SUM(F138,H138,J138,L138,N138,P138)</f>
        <v>185.43</v>
      </c>
      <c r="S138" s="3">
        <f>SUM(G138,I138,K138,M138,O138,Q138)</f>
        <v>189</v>
      </c>
      <c r="T138" s="7">
        <f>Tabelle2[[#This Row],[Robotron_Dauer]]*2+Tabelle2[[#This Row],[Schule_Dauer]]*5+Tabelle2[[#This Row],[Kletterarena_Dauer]]+Tabelle2[[#This Row],[Großeltern_Dauer]]</f>
        <v>235</v>
      </c>
    </row>
    <row r="139" spans="1:20" x14ac:dyDescent="0.2">
      <c r="A139" s="1">
        <v>115</v>
      </c>
      <c r="B139" s="2" t="s">
        <v>150</v>
      </c>
      <c r="C139" s="2">
        <v>50.963127900000003</v>
      </c>
      <c r="D139" s="2">
        <v>13.6418236</v>
      </c>
      <c r="E139" s="2" t="s">
        <v>131</v>
      </c>
      <c r="F139" s="2">
        <v>19.440000000000001</v>
      </c>
      <c r="G139" s="2">
        <v>35</v>
      </c>
      <c r="H139" s="2">
        <v>14.52</v>
      </c>
      <c r="I139" s="2">
        <v>21</v>
      </c>
      <c r="J139" s="2">
        <v>14.94</v>
      </c>
      <c r="K139" s="2">
        <v>23</v>
      </c>
      <c r="L139" s="2">
        <v>18.010000000000002</v>
      </c>
      <c r="M139" s="2">
        <v>29</v>
      </c>
      <c r="N139" s="2">
        <v>29.12</v>
      </c>
      <c r="O139" s="2">
        <v>49</v>
      </c>
      <c r="P139" s="2">
        <v>17.97</v>
      </c>
      <c r="Q139" s="2">
        <v>32</v>
      </c>
      <c r="R139" s="2">
        <f>SUM(F139,H139,J139,L139,N139,P139)</f>
        <v>114</v>
      </c>
      <c r="S139" s="3">
        <f>SUM(G139,I139,K139,M139,O139,Q139)</f>
        <v>189</v>
      </c>
      <c r="T139" s="7">
        <f>Tabelle2[[#This Row],[Robotron_Dauer]]*2+Tabelle2[[#This Row],[Schule_Dauer]]*5+Tabelle2[[#This Row],[Kletterarena_Dauer]]+Tabelle2[[#This Row],[Großeltern_Dauer]]</f>
        <v>235</v>
      </c>
    </row>
    <row r="140" spans="1:20" x14ac:dyDescent="0.2">
      <c r="A140" s="1">
        <v>40</v>
      </c>
      <c r="B140" s="2" t="s">
        <v>66</v>
      </c>
      <c r="C140" s="2">
        <v>51.048205600000003</v>
      </c>
      <c r="D140" s="2">
        <v>13.868930000000001</v>
      </c>
      <c r="E140" s="2" t="s">
        <v>44</v>
      </c>
      <c r="F140" s="2">
        <v>9.25</v>
      </c>
      <c r="G140" s="2">
        <v>19</v>
      </c>
      <c r="H140" s="2">
        <v>16.62</v>
      </c>
      <c r="I140" s="2">
        <v>35</v>
      </c>
      <c r="J140" s="2">
        <v>12.45</v>
      </c>
      <c r="K140" s="2">
        <v>26</v>
      </c>
      <c r="L140" s="2">
        <v>13.72</v>
      </c>
      <c r="M140" s="2">
        <v>30</v>
      </c>
      <c r="N140" s="2">
        <v>3.48</v>
      </c>
      <c r="O140" s="2">
        <v>6</v>
      </c>
      <c r="P140" s="2">
        <v>11.73</v>
      </c>
      <c r="Q140" s="2">
        <v>25</v>
      </c>
      <c r="R140" s="2">
        <f>SUM(F140,H140,J140,L140,N140,P140)</f>
        <v>67.25</v>
      </c>
      <c r="S140" s="3">
        <f>SUM(G140,I140,K140,M140,O140,Q140)</f>
        <v>141</v>
      </c>
      <c r="T140" s="7">
        <f>Tabelle2[[#This Row],[Robotron_Dauer]]*2+Tabelle2[[#This Row],[Schule_Dauer]]*5+Tabelle2[[#This Row],[Kletterarena_Dauer]]+Tabelle2[[#This Row],[Großeltern_Dauer]]</f>
        <v>236</v>
      </c>
    </row>
    <row r="141" spans="1:20" x14ac:dyDescent="0.2">
      <c r="A141" s="1">
        <v>233</v>
      </c>
      <c r="B141" s="2" t="s">
        <v>271</v>
      </c>
      <c r="C141" s="2">
        <v>50.851422999999997</v>
      </c>
      <c r="D141" s="2">
        <v>13.944524299999999</v>
      </c>
      <c r="E141" s="2" t="s">
        <v>19</v>
      </c>
      <c r="F141" s="2">
        <v>39.65</v>
      </c>
      <c r="G141" s="2">
        <v>37</v>
      </c>
      <c r="H141" s="2">
        <v>34.700000000000003</v>
      </c>
      <c r="I141" s="2">
        <v>25</v>
      </c>
      <c r="J141" s="2">
        <v>28.45</v>
      </c>
      <c r="K141" s="2">
        <v>23</v>
      </c>
      <c r="L141" s="2">
        <v>37.03</v>
      </c>
      <c r="M141" s="2">
        <v>32</v>
      </c>
      <c r="N141" s="2">
        <v>29.95</v>
      </c>
      <c r="O141" s="2">
        <v>39</v>
      </c>
      <c r="P141" s="2">
        <v>38.19</v>
      </c>
      <c r="Q141" s="2">
        <v>34</v>
      </c>
      <c r="R141" s="2">
        <f>SUM(F141,H141,J141,L141,N141,P141)</f>
        <v>207.96999999999997</v>
      </c>
      <c r="S141" s="3">
        <f>SUM(G141,I141,K141,M141,O141,Q141)</f>
        <v>190</v>
      </c>
      <c r="T141" s="7">
        <f>Tabelle2[[#This Row],[Robotron_Dauer]]*2+Tabelle2[[#This Row],[Schule_Dauer]]*5+Tabelle2[[#This Row],[Kletterarena_Dauer]]+Tabelle2[[#This Row],[Großeltern_Dauer]]</f>
        <v>236</v>
      </c>
    </row>
    <row r="142" spans="1:20" x14ac:dyDescent="0.2">
      <c r="A142" s="1">
        <v>122</v>
      </c>
      <c r="B142" s="2" t="s">
        <v>155</v>
      </c>
      <c r="C142" s="2">
        <v>51.049461700000002</v>
      </c>
      <c r="D142" s="2">
        <v>13.844271000000001</v>
      </c>
      <c r="E142" s="2" t="s">
        <v>44</v>
      </c>
      <c r="F142" s="2">
        <v>7.86</v>
      </c>
      <c r="G142" s="2">
        <v>17</v>
      </c>
      <c r="H142" s="2">
        <v>15.23</v>
      </c>
      <c r="I142" s="2">
        <v>32</v>
      </c>
      <c r="J142" s="2">
        <v>13.38</v>
      </c>
      <c r="K142" s="2">
        <v>27</v>
      </c>
      <c r="L142" s="2">
        <v>12.33</v>
      </c>
      <c r="M142" s="2">
        <v>27</v>
      </c>
      <c r="N142" s="2">
        <v>6.17</v>
      </c>
      <c r="O142" s="2">
        <v>11</v>
      </c>
      <c r="P142" s="2">
        <v>10.34</v>
      </c>
      <c r="Q142" s="2">
        <v>22</v>
      </c>
      <c r="R142" s="2">
        <f>SUM(F142,H142,J142,L142,N142,P142)</f>
        <v>65.31</v>
      </c>
      <c r="S142" s="3">
        <f>SUM(G142,I142,K142,M142,O142,Q142)</f>
        <v>136</v>
      </c>
      <c r="T142" s="7">
        <f>Tabelle2[[#This Row],[Robotron_Dauer]]*2+Tabelle2[[#This Row],[Schule_Dauer]]*5+Tabelle2[[#This Row],[Kletterarena_Dauer]]+Tabelle2[[#This Row],[Großeltern_Dauer]]</f>
        <v>237</v>
      </c>
    </row>
    <row r="143" spans="1:20" x14ac:dyDescent="0.2">
      <c r="A143" s="1">
        <v>96</v>
      </c>
      <c r="B143" s="2" t="s">
        <v>132</v>
      </c>
      <c r="C143" s="2">
        <v>51.033704100000001</v>
      </c>
      <c r="D143" s="2">
        <v>13.894884599999999</v>
      </c>
      <c r="E143" s="2" t="s">
        <v>44</v>
      </c>
      <c r="F143" s="2">
        <v>11.77</v>
      </c>
      <c r="G143" s="2">
        <v>25</v>
      </c>
      <c r="H143" s="2">
        <v>24.19</v>
      </c>
      <c r="I143" s="2">
        <v>36</v>
      </c>
      <c r="J143" s="2">
        <v>13.01</v>
      </c>
      <c r="K143" s="2">
        <v>25</v>
      </c>
      <c r="L143" s="2">
        <v>16.239999999999998</v>
      </c>
      <c r="M143" s="2">
        <v>35</v>
      </c>
      <c r="N143" s="2">
        <v>3.59</v>
      </c>
      <c r="O143" s="2">
        <v>6</v>
      </c>
      <c r="P143" s="2">
        <v>14.25</v>
      </c>
      <c r="Q143" s="2">
        <v>30</v>
      </c>
      <c r="R143" s="2">
        <f>SUM(F143,H143,J143,L143,N143,P143)</f>
        <v>83.05</v>
      </c>
      <c r="S143" s="3">
        <f>SUM(G143,I143,K143,M143,O143,Q143)</f>
        <v>157</v>
      </c>
      <c r="T143" s="7">
        <f>Tabelle2[[#This Row],[Robotron_Dauer]]*2+Tabelle2[[#This Row],[Schule_Dauer]]*5+Tabelle2[[#This Row],[Kletterarena_Dauer]]+Tabelle2[[#This Row],[Großeltern_Dauer]]</f>
        <v>238</v>
      </c>
    </row>
    <row r="144" spans="1:20" x14ac:dyDescent="0.2">
      <c r="A144" s="1">
        <v>145</v>
      </c>
      <c r="B144" s="2" t="s">
        <v>182</v>
      </c>
      <c r="C144" s="2">
        <v>50.995396599999999</v>
      </c>
      <c r="D144" s="2">
        <v>13.9872946</v>
      </c>
      <c r="E144" s="2" t="s">
        <v>83</v>
      </c>
      <c r="F144" s="2">
        <v>21.99</v>
      </c>
      <c r="G144" s="2">
        <v>39</v>
      </c>
      <c r="H144" s="2">
        <v>29.88</v>
      </c>
      <c r="I144" s="2">
        <v>28</v>
      </c>
      <c r="J144" s="2">
        <v>23.62</v>
      </c>
      <c r="K144" s="2">
        <v>25</v>
      </c>
      <c r="L144" s="2">
        <v>32.200000000000003</v>
      </c>
      <c r="M144" s="2">
        <v>34</v>
      </c>
      <c r="N144" s="2">
        <v>12.36</v>
      </c>
      <c r="O144" s="2">
        <v>23</v>
      </c>
      <c r="P144" s="2">
        <v>33.36</v>
      </c>
      <c r="Q144" s="2">
        <v>37</v>
      </c>
      <c r="R144" s="2">
        <f>SUM(F144,H144,J144,L144,N144,P144)</f>
        <v>153.41</v>
      </c>
      <c r="S144" s="3">
        <f>SUM(G144,I144,K144,M144,O144,Q144)</f>
        <v>186</v>
      </c>
      <c r="T144" s="7">
        <f>Tabelle2[[#This Row],[Robotron_Dauer]]*2+Tabelle2[[#This Row],[Schule_Dauer]]*5+Tabelle2[[#This Row],[Kletterarena_Dauer]]+Tabelle2[[#This Row],[Großeltern_Dauer]]</f>
        <v>238</v>
      </c>
    </row>
    <row r="145" spans="1:20" x14ac:dyDescent="0.2">
      <c r="A145" s="1">
        <v>44</v>
      </c>
      <c r="B145" s="2" t="s">
        <v>70</v>
      </c>
      <c r="C145" s="2">
        <v>51.027828100000001</v>
      </c>
      <c r="D145" s="2">
        <v>13.8648317</v>
      </c>
      <c r="E145" s="2" t="s">
        <v>44</v>
      </c>
      <c r="F145" s="2">
        <v>10.9</v>
      </c>
      <c r="G145" s="2">
        <v>24</v>
      </c>
      <c r="H145" s="2">
        <v>22.49</v>
      </c>
      <c r="I145" s="2">
        <v>36</v>
      </c>
      <c r="J145" s="2">
        <v>11.3</v>
      </c>
      <c r="K145" s="2">
        <v>24</v>
      </c>
      <c r="L145" s="2">
        <v>15.37</v>
      </c>
      <c r="M145" s="2">
        <v>34</v>
      </c>
      <c r="N145" s="2">
        <v>6.42</v>
      </c>
      <c r="O145" s="2">
        <v>13</v>
      </c>
      <c r="P145" s="2">
        <v>13.38</v>
      </c>
      <c r="Q145" s="2">
        <v>30</v>
      </c>
      <c r="R145" s="2">
        <f>SUM(F145,H145,J145,L145,N145,P145)</f>
        <v>79.859999999999985</v>
      </c>
      <c r="S145" s="3">
        <f>SUM(G145,I145,K145,M145,O145,Q145)</f>
        <v>161</v>
      </c>
      <c r="T145" s="7">
        <f>Tabelle2[[#This Row],[Robotron_Dauer]]*2+Tabelle2[[#This Row],[Schule_Dauer]]*5+Tabelle2[[#This Row],[Kletterarena_Dauer]]+Tabelle2[[#This Row],[Großeltern_Dauer]]</f>
        <v>239</v>
      </c>
    </row>
    <row r="146" spans="1:20" x14ac:dyDescent="0.2">
      <c r="A146" s="1">
        <v>7</v>
      </c>
      <c r="B146" s="2" t="s">
        <v>27</v>
      </c>
      <c r="C146" s="2">
        <v>51.069234000000002</v>
      </c>
      <c r="D146" s="2">
        <v>13.608530699999999</v>
      </c>
      <c r="E146" s="2" t="s">
        <v>19</v>
      </c>
      <c r="F146" s="2">
        <v>13.37</v>
      </c>
      <c r="G146" s="2">
        <v>25</v>
      </c>
      <c r="H146" s="2">
        <v>19.059999999999999</v>
      </c>
      <c r="I146" s="2">
        <v>24</v>
      </c>
      <c r="J146" s="2">
        <v>23.09</v>
      </c>
      <c r="K146" s="2">
        <v>26</v>
      </c>
      <c r="L146" s="2">
        <v>10.93</v>
      </c>
      <c r="M146" s="2">
        <v>20</v>
      </c>
      <c r="N146" s="2">
        <v>51.39</v>
      </c>
      <c r="O146" s="2">
        <v>43</v>
      </c>
      <c r="P146" s="2">
        <v>11.07</v>
      </c>
      <c r="Q146" s="2">
        <v>21</v>
      </c>
      <c r="R146" s="2">
        <f>SUM(F146,H146,J146,L146,N146,P146)</f>
        <v>128.91</v>
      </c>
      <c r="S146" s="3">
        <f>SUM(G146,I146,K146,M146,O146,Q146)</f>
        <v>159</v>
      </c>
      <c r="T146" s="7">
        <f>Tabelle2[[#This Row],[Robotron_Dauer]]*2+Tabelle2[[#This Row],[Schule_Dauer]]*5+Tabelle2[[#This Row],[Kletterarena_Dauer]]+Tabelle2[[#This Row],[Großeltern_Dauer]]</f>
        <v>241</v>
      </c>
    </row>
    <row r="147" spans="1:20" x14ac:dyDescent="0.2">
      <c r="A147" s="1">
        <v>8</v>
      </c>
      <c r="B147" s="2" t="s">
        <v>28</v>
      </c>
      <c r="C147" s="2">
        <v>51.0697817</v>
      </c>
      <c r="D147" s="2">
        <v>13.622591</v>
      </c>
      <c r="E147" s="2" t="s">
        <v>19</v>
      </c>
      <c r="F147" s="2">
        <v>12.32</v>
      </c>
      <c r="G147" s="2">
        <v>23</v>
      </c>
      <c r="H147" s="2">
        <v>12.94</v>
      </c>
      <c r="I147" s="2">
        <v>24</v>
      </c>
      <c r="J147" s="2">
        <v>23.94</v>
      </c>
      <c r="K147" s="2">
        <v>27</v>
      </c>
      <c r="L147" s="2">
        <v>9.89</v>
      </c>
      <c r="M147" s="2">
        <v>18</v>
      </c>
      <c r="N147" s="2">
        <v>50.35</v>
      </c>
      <c r="O147" s="2">
        <v>41</v>
      </c>
      <c r="P147" s="2">
        <v>10.029999999999999</v>
      </c>
      <c r="Q147" s="2">
        <v>19</v>
      </c>
      <c r="R147" s="2">
        <f>SUM(F147,H147,J147,L147,N147,P147)</f>
        <v>119.47</v>
      </c>
      <c r="S147" s="3">
        <f>SUM(G147,I147,K147,M147,O147,Q147)</f>
        <v>152</v>
      </c>
      <c r="T147" s="7">
        <f>Tabelle2[[#This Row],[Robotron_Dauer]]*2+Tabelle2[[#This Row],[Schule_Dauer]]*5+Tabelle2[[#This Row],[Kletterarena_Dauer]]+Tabelle2[[#This Row],[Großeltern_Dauer]]</f>
        <v>242</v>
      </c>
    </row>
    <row r="148" spans="1:20" x14ac:dyDescent="0.2">
      <c r="A148" s="1">
        <v>59</v>
      </c>
      <c r="B148" s="2" t="s">
        <v>88</v>
      </c>
      <c r="C148" s="2">
        <v>51.024445</v>
      </c>
      <c r="D148" s="2">
        <v>13.9886496</v>
      </c>
      <c r="E148" s="2" t="s">
        <v>42</v>
      </c>
      <c r="F148" s="2">
        <v>24.17</v>
      </c>
      <c r="G148" s="2">
        <v>38</v>
      </c>
      <c r="H148" s="2">
        <v>32.78</v>
      </c>
      <c r="I148" s="2">
        <v>29</v>
      </c>
      <c r="J148" s="2">
        <v>26.52</v>
      </c>
      <c r="K148" s="2">
        <v>26</v>
      </c>
      <c r="L148" s="2">
        <v>35.11</v>
      </c>
      <c r="M148" s="2">
        <v>36</v>
      </c>
      <c r="N148" s="2">
        <v>9.73</v>
      </c>
      <c r="O148" s="2">
        <v>18</v>
      </c>
      <c r="P148" s="2">
        <v>36.26</v>
      </c>
      <c r="Q148" s="2">
        <v>38</v>
      </c>
      <c r="R148" s="2">
        <f>SUM(F148,H148,J148,L148,N148,P148)</f>
        <v>164.57</v>
      </c>
      <c r="S148" s="3">
        <f>SUM(G148,I148,K148,M148,O148,Q148)</f>
        <v>185</v>
      </c>
      <c r="T148" s="7">
        <f>Tabelle2[[#This Row],[Robotron_Dauer]]*2+Tabelle2[[#This Row],[Schule_Dauer]]*5+Tabelle2[[#This Row],[Kletterarena_Dauer]]+Tabelle2[[#This Row],[Großeltern_Dauer]]</f>
        <v>242</v>
      </c>
    </row>
    <row r="149" spans="1:20" x14ac:dyDescent="0.2">
      <c r="A149" s="1">
        <v>39</v>
      </c>
      <c r="B149" s="2" t="s">
        <v>18</v>
      </c>
      <c r="C149" s="2">
        <v>51.061124100000001</v>
      </c>
      <c r="D149" s="2">
        <v>13.884622500000001</v>
      </c>
      <c r="E149" s="2" t="s">
        <v>19</v>
      </c>
      <c r="F149" s="2">
        <v>9.4700000000000006</v>
      </c>
      <c r="G149" s="2">
        <v>19</v>
      </c>
      <c r="H149" s="2">
        <v>16.829999999999998</v>
      </c>
      <c r="I149" s="2">
        <v>34</v>
      </c>
      <c r="J149" s="2">
        <v>14.34</v>
      </c>
      <c r="K149" s="2">
        <v>29</v>
      </c>
      <c r="L149" s="2">
        <v>13.94</v>
      </c>
      <c r="M149" s="2">
        <v>29</v>
      </c>
      <c r="N149" s="2">
        <v>1.04</v>
      </c>
      <c r="O149" s="2">
        <v>2</v>
      </c>
      <c r="P149" s="2">
        <v>11.95</v>
      </c>
      <c r="Q149" s="2">
        <v>25</v>
      </c>
      <c r="R149" s="2">
        <f>SUM(F149,H149,J149,L149,N149,P149)</f>
        <v>67.569999999999993</v>
      </c>
      <c r="S149" s="3">
        <f>SUM(G149,I149,K149,M149,O149,Q149)</f>
        <v>138</v>
      </c>
      <c r="T149" s="7">
        <f>Tabelle2[[#This Row],[Robotron_Dauer]]*2+Tabelle2[[#This Row],[Schule_Dauer]]*5+Tabelle2[[#This Row],[Kletterarena_Dauer]]+Tabelle2[[#This Row],[Großeltern_Dauer]]</f>
        <v>244</v>
      </c>
    </row>
    <row r="150" spans="1:20" x14ac:dyDescent="0.2">
      <c r="A150" s="1">
        <v>93</v>
      </c>
      <c r="B150" s="2" t="s">
        <v>129</v>
      </c>
      <c r="C150" s="2">
        <v>51.087944899999997</v>
      </c>
      <c r="D150" s="2">
        <v>13.707805499999999</v>
      </c>
      <c r="E150" s="2" t="s">
        <v>19</v>
      </c>
      <c r="F150" s="2">
        <v>7.16</v>
      </c>
      <c r="G150" s="2">
        <v>17</v>
      </c>
      <c r="H150" s="2">
        <v>11.83</v>
      </c>
      <c r="I150" s="2">
        <v>26</v>
      </c>
      <c r="J150" s="2">
        <v>28.41</v>
      </c>
      <c r="K150" s="2">
        <v>28</v>
      </c>
      <c r="L150" s="2">
        <v>8.0500000000000007</v>
      </c>
      <c r="M150" s="2">
        <v>19</v>
      </c>
      <c r="N150" s="2">
        <v>15.34</v>
      </c>
      <c r="O150" s="2">
        <v>33</v>
      </c>
      <c r="P150" s="2">
        <v>6.76</v>
      </c>
      <c r="Q150" s="2">
        <v>17</v>
      </c>
      <c r="R150" s="2">
        <f>SUM(F150,H150,J150,L150,N150,P150)</f>
        <v>77.550000000000011</v>
      </c>
      <c r="S150" s="3">
        <f>SUM(G150,I150,K150,M150,O150,Q150)</f>
        <v>140</v>
      </c>
      <c r="T150" s="7">
        <f>Tabelle2[[#This Row],[Robotron_Dauer]]*2+Tabelle2[[#This Row],[Schule_Dauer]]*5+Tabelle2[[#This Row],[Kletterarena_Dauer]]+Tabelle2[[#This Row],[Großeltern_Dauer]]</f>
        <v>244</v>
      </c>
    </row>
    <row r="151" spans="1:20" x14ac:dyDescent="0.2">
      <c r="A151" s="1">
        <v>254</v>
      </c>
      <c r="B151" s="2" t="s">
        <v>295</v>
      </c>
      <c r="C151" s="2">
        <v>51.016806600000002</v>
      </c>
      <c r="D151" s="2">
        <v>13.573157800000001</v>
      </c>
      <c r="E151" s="2" t="s">
        <v>19</v>
      </c>
      <c r="F151" s="2">
        <v>21.52</v>
      </c>
      <c r="G151" s="2">
        <v>34</v>
      </c>
      <c r="H151" s="2">
        <v>17.21</v>
      </c>
      <c r="I151" s="2">
        <v>23</v>
      </c>
      <c r="J151" s="2">
        <v>21.24</v>
      </c>
      <c r="K151" s="2">
        <v>25</v>
      </c>
      <c r="L151" s="2">
        <v>14.34</v>
      </c>
      <c r="M151" s="2">
        <v>26</v>
      </c>
      <c r="N151" s="2">
        <v>56.04</v>
      </c>
      <c r="O151" s="2">
        <v>47</v>
      </c>
      <c r="P151" s="2">
        <v>14.91</v>
      </c>
      <c r="Q151" s="2">
        <v>30</v>
      </c>
      <c r="R151" s="2">
        <f>SUM(F151,H151,J151,L151,N151,P151)</f>
        <v>145.26</v>
      </c>
      <c r="S151" s="3">
        <f>SUM(G151,I151,K151,M151,O151,Q151)</f>
        <v>185</v>
      </c>
      <c r="T151" s="7">
        <f>Tabelle2[[#This Row],[Robotron_Dauer]]*2+Tabelle2[[#This Row],[Schule_Dauer]]*5+Tabelle2[[#This Row],[Kletterarena_Dauer]]+Tabelle2[[#This Row],[Großeltern_Dauer]]</f>
        <v>244</v>
      </c>
    </row>
    <row r="152" spans="1:20" x14ac:dyDescent="0.2">
      <c r="A152" s="1">
        <v>57</v>
      </c>
      <c r="B152" s="2" t="s">
        <v>84</v>
      </c>
      <c r="C152" s="2">
        <v>50.960811999999997</v>
      </c>
      <c r="D152" s="2">
        <v>14.0051103</v>
      </c>
      <c r="E152" s="2" t="s">
        <v>85</v>
      </c>
      <c r="F152" s="2">
        <v>22.27</v>
      </c>
      <c r="G152" s="2">
        <v>38</v>
      </c>
      <c r="H152" s="2">
        <v>30.45</v>
      </c>
      <c r="I152" s="2">
        <v>28</v>
      </c>
      <c r="J152" s="2">
        <v>24.2</v>
      </c>
      <c r="K152" s="2">
        <v>25</v>
      </c>
      <c r="L152" s="2">
        <v>32.78</v>
      </c>
      <c r="M152" s="2">
        <v>35</v>
      </c>
      <c r="N152" s="2">
        <v>19.78</v>
      </c>
      <c r="O152" s="2">
        <v>28</v>
      </c>
      <c r="P152" s="2">
        <v>33.93</v>
      </c>
      <c r="Q152" s="2">
        <v>37</v>
      </c>
      <c r="R152" s="2">
        <f>SUM(F152,H152,J152,L152,N152,P152)</f>
        <v>163.41000000000003</v>
      </c>
      <c r="S152" s="3">
        <f>SUM(G152,I152,K152,M152,O152,Q152)</f>
        <v>191</v>
      </c>
      <c r="T152" s="7">
        <f>Tabelle2[[#This Row],[Robotron_Dauer]]*2+Tabelle2[[#This Row],[Schule_Dauer]]*5+Tabelle2[[#This Row],[Kletterarena_Dauer]]+Tabelle2[[#This Row],[Großeltern_Dauer]]</f>
        <v>244</v>
      </c>
    </row>
    <row r="153" spans="1:20" x14ac:dyDescent="0.2">
      <c r="A153" s="1">
        <v>179</v>
      </c>
      <c r="B153" s="2" t="s">
        <v>219</v>
      </c>
      <c r="C153" s="2">
        <v>51.083101800000001</v>
      </c>
      <c r="D153" s="2">
        <v>13.722562399999999</v>
      </c>
      <c r="E153" s="2" t="s">
        <v>17</v>
      </c>
      <c r="F153" s="2">
        <v>5.97</v>
      </c>
      <c r="G153" s="2">
        <v>14</v>
      </c>
      <c r="H153" s="2">
        <v>10.63</v>
      </c>
      <c r="I153" s="2">
        <v>24</v>
      </c>
      <c r="J153" s="2">
        <v>29.21</v>
      </c>
      <c r="K153" s="2">
        <v>30</v>
      </c>
      <c r="L153" s="2">
        <v>6.86</v>
      </c>
      <c r="M153" s="2">
        <v>16</v>
      </c>
      <c r="N153" s="2">
        <v>14.68</v>
      </c>
      <c r="O153" s="2">
        <v>31</v>
      </c>
      <c r="P153" s="2">
        <v>5.57</v>
      </c>
      <c r="Q153" s="2">
        <v>14</v>
      </c>
      <c r="R153" s="2">
        <f>SUM(F153,H153,J153,L153,N153,P153)</f>
        <v>72.919999999999987</v>
      </c>
      <c r="S153" s="3">
        <f>SUM(G153,I153,K153,M153,O153,Q153)</f>
        <v>129</v>
      </c>
      <c r="T153" s="7">
        <f>Tabelle2[[#This Row],[Robotron_Dauer]]*2+Tabelle2[[#This Row],[Schule_Dauer]]*5+Tabelle2[[#This Row],[Kletterarena_Dauer]]+Tabelle2[[#This Row],[Großeltern_Dauer]]</f>
        <v>245</v>
      </c>
    </row>
    <row r="154" spans="1:20" x14ac:dyDescent="0.2">
      <c r="A154" s="1">
        <v>194</v>
      </c>
      <c r="B154" s="2" t="s">
        <v>233</v>
      </c>
      <c r="C154" s="2">
        <v>51.079351899999999</v>
      </c>
      <c r="D154" s="2">
        <v>13.754326499999999</v>
      </c>
      <c r="E154" s="2" t="s">
        <v>44</v>
      </c>
      <c r="F154" s="2">
        <v>5.0999999999999996</v>
      </c>
      <c r="G154" s="2">
        <v>12</v>
      </c>
      <c r="H154" s="2">
        <v>11.26</v>
      </c>
      <c r="I154" s="2">
        <v>27</v>
      </c>
      <c r="J154" s="2">
        <v>14.08</v>
      </c>
      <c r="K154" s="2">
        <v>29</v>
      </c>
      <c r="L154" s="2">
        <v>7.48</v>
      </c>
      <c r="M154" s="2">
        <v>19</v>
      </c>
      <c r="N154" s="2">
        <v>12.36</v>
      </c>
      <c r="O154" s="2">
        <v>27</v>
      </c>
      <c r="P154" s="2">
        <v>6.16</v>
      </c>
      <c r="Q154" s="2">
        <v>17</v>
      </c>
      <c r="R154" s="2">
        <f>SUM(F154,H154,J154,L154,N154,P154)</f>
        <v>56.44</v>
      </c>
      <c r="S154" s="3">
        <f>SUM(G154,I154,K154,M154,O154,Q154)</f>
        <v>131</v>
      </c>
      <c r="T154" s="7">
        <f>Tabelle2[[#This Row],[Robotron_Dauer]]*2+Tabelle2[[#This Row],[Schule_Dauer]]*5+Tabelle2[[#This Row],[Kletterarena_Dauer]]+Tabelle2[[#This Row],[Großeltern_Dauer]]</f>
        <v>245</v>
      </c>
    </row>
    <row r="155" spans="1:20" x14ac:dyDescent="0.2">
      <c r="A155" s="1">
        <v>79</v>
      </c>
      <c r="B155" s="2" t="s">
        <v>112</v>
      </c>
      <c r="C155" s="2">
        <v>51.095292100000002</v>
      </c>
      <c r="D155" s="2">
        <v>13.658743299999999</v>
      </c>
      <c r="E155" s="2" t="s">
        <v>19</v>
      </c>
      <c r="F155" s="2">
        <v>10.37</v>
      </c>
      <c r="G155" s="2">
        <v>22</v>
      </c>
      <c r="H155" s="2">
        <v>24.52</v>
      </c>
      <c r="I155" s="2">
        <v>26</v>
      </c>
      <c r="J155" s="2">
        <v>28.55</v>
      </c>
      <c r="K155" s="2">
        <v>27</v>
      </c>
      <c r="L155" s="2">
        <v>9.8000000000000007</v>
      </c>
      <c r="M155" s="2">
        <v>21</v>
      </c>
      <c r="N155" s="2">
        <v>44.7</v>
      </c>
      <c r="O155" s="2">
        <v>37</v>
      </c>
      <c r="P155" s="2">
        <v>9.4499999999999993</v>
      </c>
      <c r="Q155" s="2">
        <v>20</v>
      </c>
      <c r="R155" s="2">
        <f>SUM(F155,H155,J155,L155,N155,P155)</f>
        <v>127.39</v>
      </c>
      <c r="S155" s="3">
        <f>SUM(G155,I155,K155,M155,O155,Q155)</f>
        <v>153</v>
      </c>
      <c r="T155" s="7">
        <f>Tabelle2[[#This Row],[Robotron_Dauer]]*2+Tabelle2[[#This Row],[Schule_Dauer]]*5+Tabelle2[[#This Row],[Kletterarena_Dauer]]+Tabelle2[[#This Row],[Großeltern_Dauer]]</f>
        <v>245</v>
      </c>
    </row>
    <row r="156" spans="1:20" x14ac:dyDescent="0.2">
      <c r="A156" s="1">
        <v>169</v>
      </c>
      <c r="B156" s="2" t="s">
        <v>206</v>
      </c>
      <c r="C156" s="2">
        <v>51.079155700000001</v>
      </c>
      <c r="D156" s="2">
        <v>13.6437255</v>
      </c>
      <c r="E156" s="2" t="s">
        <v>19</v>
      </c>
      <c r="F156" s="2">
        <v>11.76</v>
      </c>
      <c r="G156" s="2">
        <v>23</v>
      </c>
      <c r="H156" s="2">
        <v>12.37</v>
      </c>
      <c r="I156" s="2">
        <v>24</v>
      </c>
      <c r="J156" s="2">
        <v>27.14</v>
      </c>
      <c r="K156" s="2">
        <v>28</v>
      </c>
      <c r="L156" s="2">
        <v>9.33</v>
      </c>
      <c r="M156" s="2">
        <v>18</v>
      </c>
      <c r="N156" s="2">
        <v>49.27</v>
      </c>
      <c r="O156" s="2">
        <v>41</v>
      </c>
      <c r="P156" s="2">
        <v>9.4700000000000006</v>
      </c>
      <c r="Q156" s="2">
        <v>19</v>
      </c>
      <c r="R156" s="2">
        <f>SUM(F156,H156,J156,L156,N156,P156)</f>
        <v>119.34</v>
      </c>
      <c r="S156" s="3">
        <f>SUM(G156,I156,K156,M156,O156,Q156)</f>
        <v>153</v>
      </c>
      <c r="T156" s="7">
        <f>Tabelle2[[#This Row],[Robotron_Dauer]]*2+Tabelle2[[#This Row],[Schule_Dauer]]*5+Tabelle2[[#This Row],[Kletterarena_Dauer]]+Tabelle2[[#This Row],[Großeltern_Dauer]]</f>
        <v>247</v>
      </c>
    </row>
    <row r="157" spans="1:20" x14ac:dyDescent="0.2">
      <c r="A157" s="1">
        <v>249</v>
      </c>
      <c r="B157" s="2" t="s">
        <v>289</v>
      </c>
      <c r="C157" s="2">
        <v>50.976365299999998</v>
      </c>
      <c r="D157" s="2">
        <v>13.624954499999999</v>
      </c>
      <c r="E157" s="2" t="s">
        <v>19</v>
      </c>
      <c r="F157" s="2">
        <v>16.14</v>
      </c>
      <c r="G157" s="2">
        <v>37</v>
      </c>
      <c r="H157" s="2">
        <v>8.2200000000000006</v>
      </c>
      <c r="I157" s="2">
        <v>19</v>
      </c>
      <c r="J157" s="2">
        <v>16.309999999999999</v>
      </c>
      <c r="K157" s="2">
        <v>26</v>
      </c>
      <c r="L157" s="2">
        <v>11.71</v>
      </c>
      <c r="M157" s="2">
        <v>27</v>
      </c>
      <c r="N157" s="2">
        <v>30.5</v>
      </c>
      <c r="O157" s="2">
        <v>52</v>
      </c>
      <c r="P157" s="2">
        <v>14.68</v>
      </c>
      <c r="Q157" s="2">
        <v>34</v>
      </c>
      <c r="R157" s="2">
        <f>SUM(F157,H157,J157,L157,N157,P157)</f>
        <v>97.56</v>
      </c>
      <c r="S157" s="3">
        <f>SUM(G157,I157,K157,M157,O157,Q157)</f>
        <v>195</v>
      </c>
      <c r="T157" s="7">
        <f>Tabelle2[[#This Row],[Robotron_Dauer]]*2+Tabelle2[[#This Row],[Schule_Dauer]]*5+Tabelle2[[#This Row],[Kletterarena_Dauer]]+Tabelle2[[#This Row],[Großeltern_Dauer]]</f>
        <v>247</v>
      </c>
    </row>
    <row r="158" spans="1:20" x14ac:dyDescent="0.2">
      <c r="A158" s="1">
        <v>161</v>
      </c>
      <c r="B158" s="2" t="s">
        <v>67</v>
      </c>
      <c r="C158" s="2">
        <v>50.959683200000001</v>
      </c>
      <c r="D158" s="2">
        <v>13.9620218</v>
      </c>
      <c r="E158" s="2" t="s">
        <v>40</v>
      </c>
      <c r="F158" s="2">
        <v>29.18</v>
      </c>
      <c r="G158" s="2">
        <v>39</v>
      </c>
      <c r="H158" s="2">
        <v>24.23</v>
      </c>
      <c r="I158" s="2">
        <v>28</v>
      </c>
      <c r="J158" s="2">
        <v>17.98</v>
      </c>
      <c r="K158" s="2">
        <v>25</v>
      </c>
      <c r="L158" s="2">
        <v>26.56</v>
      </c>
      <c r="M158" s="2">
        <v>34</v>
      </c>
      <c r="N158" s="2">
        <v>20.91</v>
      </c>
      <c r="O158" s="2">
        <v>35</v>
      </c>
      <c r="P158" s="2">
        <v>27.71</v>
      </c>
      <c r="Q158" s="2">
        <v>36</v>
      </c>
      <c r="R158" s="2">
        <f>SUM(F158,H158,J158,L158,N158,P158)</f>
        <v>146.57</v>
      </c>
      <c r="S158" s="3">
        <f>SUM(G158,I158,K158,M158,O158,Q158)</f>
        <v>197</v>
      </c>
      <c r="T158" s="7">
        <f>Tabelle2[[#This Row],[Robotron_Dauer]]*2+Tabelle2[[#This Row],[Schule_Dauer]]*5+Tabelle2[[#This Row],[Kletterarena_Dauer]]+Tabelle2[[#This Row],[Großeltern_Dauer]]</f>
        <v>250</v>
      </c>
    </row>
    <row r="159" spans="1:20" x14ac:dyDescent="0.2">
      <c r="A159" s="1">
        <v>1</v>
      </c>
      <c r="B159" s="2" t="s">
        <v>18</v>
      </c>
      <c r="C159" s="2">
        <v>51.0016398</v>
      </c>
      <c r="D159" s="2">
        <v>13.6118402</v>
      </c>
      <c r="E159" s="2" t="s">
        <v>19</v>
      </c>
      <c r="F159" s="2">
        <v>14.53</v>
      </c>
      <c r="G159" s="2">
        <v>34</v>
      </c>
      <c r="H159" s="2">
        <v>7.77</v>
      </c>
      <c r="I159" s="2">
        <v>15</v>
      </c>
      <c r="J159" s="2">
        <v>16.66</v>
      </c>
      <c r="K159" s="2">
        <v>29</v>
      </c>
      <c r="L159" s="2">
        <v>9.82</v>
      </c>
      <c r="M159" s="2">
        <v>24</v>
      </c>
      <c r="N159" s="2">
        <v>26.65</v>
      </c>
      <c r="O159" s="2">
        <v>52</v>
      </c>
      <c r="P159" s="2">
        <v>13.06</v>
      </c>
      <c r="Q159" s="2">
        <v>31</v>
      </c>
      <c r="R159" s="2">
        <f>SUM(F159,H159,J159,L159,N159,P159)</f>
        <v>88.49</v>
      </c>
      <c r="S159" s="3">
        <f>SUM(G159,I159,K159,M159,O159,Q159)</f>
        <v>185</v>
      </c>
      <c r="T159" s="7">
        <f>Tabelle2[[#This Row],[Robotron_Dauer]]*2+Tabelle2[[#This Row],[Schule_Dauer]]*5+Tabelle2[[#This Row],[Kletterarena_Dauer]]+Tabelle2[[#This Row],[Großeltern_Dauer]]</f>
        <v>251</v>
      </c>
    </row>
    <row r="160" spans="1:20" x14ac:dyDescent="0.2">
      <c r="A160" s="1">
        <v>262</v>
      </c>
      <c r="B160" s="2" t="s">
        <v>303</v>
      </c>
      <c r="C160" s="2">
        <v>51.118965600000003</v>
      </c>
      <c r="D160" s="2">
        <v>13.7371476</v>
      </c>
      <c r="E160" s="2" t="s">
        <v>19</v>
      </c>
      <c r="F160" s="2">
        <v>9.51</v>
      </c>
      <c r="G160" s="2">
        <v>20</v>
      </c>
      <c r="H160" s="2">
        <v>28.26</v>
      </c>
      <c r="I160" s="2">
        <v>27</v>
      </c>
      <c r="J160" s="2">
        <v>32.29</v>
      </c>
      <c r="K160" s="2">
        <v>29</v>
      </c>
      <c r="L160" s="2">
        <v>13.36</v>
      </c>
      <c r="M160" s="2">
        <v>23</v>
      </c>
      <c r="N160" s="2">
        <v>36.99</v>
      </c>
      <c r="O160" s="2">
        <v>31</v>
      </c>
      <c r="P160" s="2">
        <v>9.5500000000000007</v>
      </c>
      <c r="Q160" s="2">
        <v>22</v>
      </c>
      <c r="R160" s="2">
        <f>SUM(F160,H160,J160,L160,N160,P160)</f>
        <v>129.96</v>
      </c>
      <c r="S160" s="3">
        <f>SUM(G160,I160,K160,M160,O160,Q160)</f>
        <v>152</v>
      </c>
      <c r="T160" s="7">
        <f>Tabelle2[[#This Row],[Robotron_Dauer]]*2+Tabelle2[[#This Row],[Schule_Dauer]]*5+Tabelle2[[#This Row],[Kletterarena_Dauer]]+Tabelle2[[#This Row],[Großeltern_Dauer]]</f>
        <v>253</v>
      </c>
    </row>
    <row r="161" spans="1:20" x14ac:dyDescent="0.2">
      <c r="A161" s="1">
        <v>82</v>
      </c>
      <c r="B161" s="2" t="s">
        <v>108</v>
      </c>
      <c r="C161" s="2">
        <v>51.099976499999997</v>
      </c>
      <c r="D161" s="2">
        <v>13.6767995</v>
      </c>
      <c r="E161" s="2" t="s">
        <v>19</v>
      </c>
      <c r="F161" s="2">
        <v>9.24</v>
      </c>
      <c r="G161" s="2">
        <v>20</v>
      </c>
      <c r="H161" s="2">
        <v>24.76</v>
      </c>
      <c r="I161" s="2">
        <v>27</v>
      </c>
      <c r="J161" s="2">
        <v>28.79</v>
      </c>
      <c r="K161" s="2">
        <v>28</v>
      </c>
      <c r="L161" s="2">
        <v>10.039999999999999</v>
      </c>
      <c r="M161" s="2">
        <v>22</v>
      </c>
      <c r="N161" s="2">
        <v>43.02</v>
      </c>
      <c r="O161" s="2">
        <v>37</v>
      </c>
      <c r="P161" s="2">
        <v>8.84</v>
      </c>
      <c r="Q161" s="2">
        <v>20</v>
      </c>
      <c r="R161" s="2">
        <f>SUM(F161,H161,J161,L161,N161,P161)</f>
        <v>124.69</v>
      </c>
      <c r="S161" s="3">
        <f>SUM(G161,I161,K161,M161,O161,Q161)</f>
        <v>154</v>
      </c>
      <c r="T161" s="7">
        <f>Tabelle2[[#This Row],[Robotron_Dauer]]*2+Tabelle2[[#This Row],[Schule_Dauer]]*5+Tabelle2[[#This Row],[Kletterarena_Dauer]]+Tabelle2[[#This Row],[Großeltern_Dauer]]</f>
        <v>253</v>
      </c>
    </row>
    <row r="162" spans="1:20" x14ac:dyDescent="0.2">
      <c r="A162" s="1">
        <v>28</v>
      </c>
      <c r="B162" s="2" t="s">
        <v>51</v>
      </c>
      <c r="C162" s="2">
        <v>51.120202200000001</v>
      </c>
      <c r="D162" s="2">
        <v>13.720170100000001</v>
      </c>
      <c r="E162" s="2" t="s">
        <v>17</v>
      </c>
      <c r="F162" s="2">
        <v>9.6300000000000008</v>
      </c>
      <c r="G162" s="2">
        <v>20</v>
      </c>
      <c r="H162" s="2">
        <v>28.38</v>
      </c>
      <c r="I162" s="2">
        <v>27</v>
      </c>
      <c r="J162" s="2">
        <v>32.409999999999997</v>
      </c>
      <c r="K162" s="2">
        <v>29</v>
      </c>
      <c r="L162" s="2">
        <v>13.48</v>
      </c>
      <c r="M162" s="2">
        <v>23</v>
      </c>
      <c r="N162" s="2">
        <v>38</v>
      </c>
      <c r="O162" s="2">
        <v>33</v>
      </c>
      <c r="P162" s="2">
        <v>9.67</v>
      </c>
      <c r="Q162" s="2">
        <v>22</v>
      </c>
      <c r="R162" s="2">
        <f>SUM(F162,H162,J162,L162,N162,P162)</f>
        <v>131.57</v>
      </c>
      <c r="S162" s="3">
        <f>SUM(G162,I162,K162,M162,O162,Q162)</f>
        <v>154</v>
      </c>
      <c r="T162" s="7">
        <f>Tabelle2[[#This Row],[Robotron_Dauer]]*2+Tabelle2[[#This Row],[Schule_Dauer]]*5+Tabelle2[[#This Row],[Kletterarena_Dauer]]+Tabelle2[[#This Row],[Großeltern_Dauer]]</f>
        <v>255</v>
      </c>
    </row>
    <row r="163" spans="1:20" x14ac:dyDescent="0.2">
      <c r="A163" s="1">
        <v>42</v>
      </c>
      <c r="B163" s="2" t="s">
        <v>68</v>
      </c>
      <c r="C163" s="2">
        <v>51.038151999999997</v>
      </c>
      <c r="D163" s="2">
        <v>13.853976400000001</v>
      </c>
      <c r="E163" s="2" t="s">
        <v>19</v>
      </c>
      <c r="F163" s="2">
        <v>10.81</v>
      </c>
      <c r="G163" s="2">
        <v>22</v>
      </c>
      <c r="H163" s="2">
        <v>18.18</v>
      </c>
      <c r="I163" s="2">
        <v>37</v>
      </c>
      <c r="J163" s="2">
        <v>14.01</v>
      </c>
      <c r="K163" s="2">
        <v>28</v>
      </c>
      <c r="L163" s="2">
        <v>15.28</v>
      </c>
      <c r="M163" s="2">
        <v>32</v>
      </c>
      <c r="N163" s="2">
        <v>5.04</v>
      </c>
      <c r="O163" s="2">
        <v>9</v>
      </c>
      <c r="P163" s="2">
        <v>13.29</v>
      </c>
      <c r="Q163" s="2">
        <v>28</v>
      </c>
      <c r="R163" s="2">
        <f>SUM(F163,H163,J163,L163,N163,P163)</f>
        <v>76.61</v>
      </c>
      <c r="S163" s="3">
        <f>SUM(G163,I163,K163,M163,O163,Q163)</f>
        <v>156</v>
      </c>
      <c r="T163" s="7">
        <f>Tabelle2[[#This Row],[Robotron_Dauer]]*2+Tabelle2[[#This Row],[Schule_Dauer]]*5+Tabelle2[[#This Row],[Kletterarena_Dauer]]+Tabelle2[[#This Row],[Großeltern_Dauer]]</f>
        <v>255</v>
      </c>
    </row>
    <row r="164" spans="1:20" x14ac:dyDescent="0.2">
      <c r="A164" s="1">
        <v>261</v>
      </c>
      <c r="B164" s="2" t="s">
        <v>302</v>
      </c>
      <c r="C164" s="2">
        <v>51.011297200000001</v>
      </c>
      <c r="D164" s="2">
        <v>13.616119100000001</v>
      </c>
      <c r="E164" s="2" t="s">
        <v>19</v>
      </c>
      <c r="F164" s="2">
        <v>13.71</v>
      </c>
      <c r="G164" s="2">
        <v>33</v>
      </c>
      <c r="H164" s="2">
        <v>8.2200000000000006</v>
      </c>
      <c r="I164" s="2">
        <v>19</v>
      </c>
      <c r="J164" s="2">
        <v>23.06</v>
      </c>
      <c r="K164" s="2">
        <v>29</v>
      </c>
      <c r="L164" s="2">
        <v>9.2899999999999991</v>
      </c>
      <c r="M164" s="2">
        <v>22</v>
      </c>
      <c r="N164" s="2">
        <v>57.86</v>
      </c>
      <c r="O164" s="2">
        <v>51</v>
      </c>
      <c r="P164" s="2">
        <v>11.17</v>
      </c>
      <c r="Q164" s="2">
        <v>28</v>
      </c>
      <c r="R164" s="2">
        <f>SUM(F164,H164,J164,L164,N164,P164)</f>
        <v>123.30999999999999</v>
      </c>
      <c r="S164" s="3">
        <f>SUM(G164,I164,K164,M164,O164,Q164)</f>
        <v>182</v>
      </c>
      <c r="T164" s="7">
        <f>Tabelle2[[#This Row],[Robotron_Dauer]]*2+Tabelle2[[#This Row],[Schule_Dauer]]*5+Tabelle2[[#This Row],[Kletterarena_Dauer]]+Tabelle2[[#This Row],[Großeltern_Dauer]]</f>
        <v>256</v>
      </c>
    </row>
    <row r="165" spans="1:20" x14ac:dyDescent="0.2">
      <c r="A165" s="1">
        <v>58</v>
      </c>
      <c r="B165" s="2" t="s">
        <v>86</v>
      </c>
      <c r="C165" s="2">
        <v>50.945824399999999</v>
      </c>
      <c r="D165" s="2">
        <v>13.979984099999999</v>
      </c>
      <c r="E165" s="2" t="s">
        <v>87</v>
      </c>
      <c r="F165" s="2">
        <v>30.74</v>
      </c>
      <c r="G165" s="2">
        <v>40</v>
      </c>
      <c r="H165" s="2">
        <v>25.79</v>
      </c>
      <c r="I165" s="2">
        <v>28</v>
      </c>
      <c r="J165" s="2">
        <v>19.54</v>
      </c>
      <c r="K165" s="2">
        <v>26</v>
      </c>
      <c r="L165" s="2">
        <v>28.12</v>
      </c>
      <c r="M165" s="2">
        <v>35</v>
      </c>
      <c r="N165" s="2">
        <v>22.47</v>
      </c>
      <c r="O165" s="2">
        <v>35</v>
      </c>
      <c r="P165" s="2">
        <v>29.27</v>
      </c>
      <c r="Q165" s="2">
        <v>37</v>
      </c>
      <c r="R165" s="2">
        <f>SUM(F165,H165,J165,L165,N165,P165)</f>
        <v>155.93</v>
      </c>
      <c r="S165" s="3">
        <f>SUM(G165,I165,K165,M165,O165,Q165)</f>
        <v>201</v>
      </c>
      <c r="T165" s="7">
        <f>Tabelle2[[#This Row],[Robotron_Dauer]]*2+Tabelle2[[#This Row],[Schule_Dauer]]*5+Tabelle2[[#This Row],[Kletterarena_Dauer]]+Tabelle2[[#This Row],[Großeltern_Dauer]]</f>
        <v>256</v>
      </c>
    </row>
    <row r="166" spans="1:20" x14ac:dyDescent="0.2">
      <c r="A166" s="1">
        <v>63</v>
      </c>
      <c r="B166" s="2" t="s">
        <v>94</v>
      </c>
      <c r="C166" s="2">
        <v>50.964042200000002</v>
      </c>
      <c r="D166" s="2">
        <v>13.622692300000001</v>
      </c>
      <c r="E166" s="2" t="s">
        <v>95</v>
      </c>
      <c r="F166" s="2">
        <v>20.77</v>
      </c>
      <c r="G166" s="2">
        <v>38</v>
      </c>
      <c r="H166" s="2">
        <v>9.94</v>
      </c>
      <c r="I166" s="2">
        <v>22</v>
      </c>
      <c r="J166" s="2">
        <v>16.27</v>
      </c>
      <c r="K166" s="2">
        <v>26</v>
      </c>
      <c r="L166" s="2">
        <v>13.43</v>
      </c>
      <c r="M166" s="2">
        <v>31</v>
      </c>
      <c r="N166" s="2">
        <v>30.45</v>
      </c>
      <c r="O166" s="2">
        <v>52</v>
      </c>
      <c r="P166" s="2">
        <v>19.3</v>
      </c>
      <c r="Q166" s="2">
        <v>35</v>
      </c>
      <c r="R166" s="2">
        <f>SUM(F166,H166,J166,L166,N166,P166)</f>
        <v>110.16</v>
      </c>
      <c r="S166" s="3">
        <f>SUM(G166,I166,K166,M166,O166,Q166)</f>
        <v>204</v>
      </c>
      <c r="T166" s="7">
        <f>Tabelle2[[#This Row],[Robotron_Dauer]]*2+Tabelle2[[#This Row],[Schule_Dauer]]*5+Tabelle2[[#This Row],[Kletterarena_Dauer]]+Tabelle2[[#This Row],[Großeltern_Dauer]]</f>
        <v>257</v>
      </c>
    </row>
    <row r="167" spans="1:20" x14ac:dyDescent="0.2">
      <c r="A167" s="1">
        <v>163</v>
      </c>
      <c r="B167" s="2" t="s">
        <v>200</v>
      </c>
      <c r="C167" s="2">
        <v>51.087612399999998</v>
      </c>
      <c r="D167" s="2">
        <v>13.6298379</v>
      </c>
      <c r="E167" s="2" t="s">
        <v>19</v>
      </c>
      <c r="F167" s="2">
        <v>12.11</v>
      </c>
      <c r="G167" s="2">
        <v>25</v>
      </c>
      <c r="H167" s="2">
        <v>12.72</v>
      </c>
      <c r="I167" s="2">
        <v>26</v>
      </c>
      <c r="J167" s="2">
        <v>27.51</v>
      </c>
      <c r="K167" s="2">
        <v>29</v>
      </c>
      <c r="L167" s="2">
        <v>9.68</v>
      </c>
      <c r="M167" s="2">
        <v>20</v>
      </c>
      <c r="N167" s="2">
        <v>49.63</v>
      </c>
      <c r="O167" s="2">
        <v>41</v>
      </c>
      <c r="P167" s="2">
        <v>9.82</v>
      </c>
      <c r="Q167" s="2">
        <v>21</v>
      </c>
      <c r="R167" s="2">
        <f>SUM(F167,H167,J167,L167,N167,P167)</f>
        <v>121.47</v>
      </c>
      <c r="S167" s="3">
        <f>SUM(G167,I167,K167,M167,O167,Q167)</f>
        <v>162</v>
      </c>
      <c r="T167" s="7">
        <f>Tabelle2[[#This Row],[Robotron_Dauer]]*2+Tabelle2[[#This Row],[Schule_Dauer]]*5+Tabelle2[[#This Row],[Kletterarena_Dauer]]+Tabelle2[[#This Row],[Großeltern_Dauer]]</f>
        <v>258</v>
      </c>
    </row>
    <row r="168" spans="1:20" x14ac:dyDescent="0.2">
      <c r="A168" s="1">
        <v>178</v>
      </c>
      <c r="B168" s="2" t="s">
        <v>218</v>
      </c>
      <c r="C168" s="2">
        <v>51.087433799999999</v>
      </c>
      <c r="D168" s="2">
        <v>13.6484784</v>
      </c>
      <c r="E168" s="2" t="s">
        <v>19</v>
      </c>
      <c r="F168" s="2">
        <v>11.52</v>
      </c>
      <c r="G168" s="2">
        <v>25</v>
      </c>
      <c r="H168" s="2">
        <v>12.14</v>
      </c>
      <c r="I168" s="2">
        <v>26</v>
      </c>
      <c r="J168" s="2">
        <v>26.92</v>
      </c>
      <c r="K168" s="2">
        <v>29</v>
      </c>
      <c r="L168" s="2">
        <v>9.09</v>
      </c>
      <c r="M168" s="2">
        <v>20</v>
      </c>
      <c r="N168" s="2">
        <v>49.04</v>
      </c>
      <c r="O168" s="2">
        <v>41</v>
      </c>
      <c r="P168" s="2">
        <v>9.23</v>
      </c>
      <c r="Q168" s="2">
        <v>21</v>
      </c>
      <c r="R168" s="2">
        <f>SUM(F168,H168,J168,L168,N168,P168)</f>
        <v>117.94000000000001</v>
      </c>
      <c r="S168" s="3">
        <f>SUM(G168,I168,K168,M168,O168,Q168)</f>
        <v>162</v>
      </c>
      <c r="T168" s="7">
        <f>Tabelle2[[#This Row],[Robotron_Dauer]]*2+Tabelle2[[#This Row],[Schule_Dauer]]*5+Tabelle2[[#This Row],[Kletterarena_Dauer]]+Tabelle2[[#This Row],[Großeltern_Dauer]]</f>
        <v>258</v>
      </c>
    </row>
    <row r="169" spans="1:20" x14ac:dyDescent="0.2">
      <c r="A169" s="1">
        <v>23</v>
      </c>
      <c r="B169" s="2" t="s">
        <v>46</v>
      </c>
      <c r="C169" s="2">
        <v>51.004479400000001</v>
      </c>
      <c r="D169" s="2">
        <v>13.5917025</v>
      </c>
      <c r="E169" s="2" t="s">
        <v>19</v>
      </c>
      <c r="F169" s="2">
        <v>23.43</v>
      </c>
      <c r="G169" s="2">
        <v>37</v>
      </c>
      <c r="H169" s="2">
        <v>9.9600000000000009</v>
      </c>
      <c r="I169" s="2">
        <v>21</v>
      </c>
      <c r="J169" s="2">
        <v>23.14</v>
      </c>
      <c r="K169" s="2">
        <v>28</v>
      </c>
      <c r="L169" s="2">
        <v>12.83</v>
      </c>
      <c r="M169" s="2">
        <v>28</v>
      </c>
      <c r="N169" s="2">
        <v>57.95</v>
      </c>
      <c r="O169" s="2">
        <v>50</v>
      </c>
      <c r="P169" s="2">
        <v>16.82</v>
      </c>
      <c r="Q169" s="2">
        <v>33</v>
      </c>
      <c r="R169" s="2">
        <f>SUM(F169,H169,J169,L169,N169,P169)</f>
        <v>144.13</v>
      </c>
      <c r="S169" s="3">
        <f>SUM(G169,I169,K169,M169,O169,Q169)</f>
        <v>197</v>
      </c>
      <c r="T169" s="7">
        <f>Tabelle2[[#This Row],[Robotron_Dauer]]*2+Tabelle2[[#This Row],[Schule_Dauer]]*5+Tabelle2[[#This Row],[Kletterarena_Dauer]]+Tabelle2[[#This Row],[Großeltern_Dauer]]</f>
        <v>260</v>
      </c>
    </row>
    <row r="170" spans="1:20" x14ac:dyDescent="0.2">
      <c r="A170" s="1">
        <v>22</v>
      </c>
      <c r="B170" s="2" t="s">
        <v>45</v>
      </c>
      <c r="C170" s="2">
        <v>51.057046800000002</v>
      </c>
      <c r="D170" s="2">
        <v>13.939063900000001</v>
      </c>
      <c r="E170" s="2" t="s">
        <v>19</v>
      </c>
      <c r="F170" s="2">
        <v>14.24</v>
      </c>
      <c r="G170" s="2">
        <v>26</v>
      </c>
      <c r="H170" s="2">
        <v>34.24</v>
      </c>
      <c r="I170" s="2">
        <v>33</v>
      </c>
      <c r="J170" s="2">
        <v>16.079999999999998</v>
      </c>
      <c r="K170" s="2">
        <v>30</v>
      </c>
      <c r="L170" s="2">
        <v>18.71</v>
      </c>
      <c r="M170" s="2">
        <v>36</v>
      </c>
      <c r="N170" s="2">
        <v>5.79</v>
      </c>
      <c r="O170" s="2">
        <v>9</v>
      </c>
      <c r="P170" s="2">
        <v>16.72</v>
      </c>
      <c r="Q170" s="2">
        <v>32</v>
      </c>
      <c r="R170" s="2">
        <f>SUM(F170,H170,J170,L170,N170,P170)</f>
        <v>105.78000000000002</v>
      </c>
      <c r="S170" s="3">
        <f>SUM(G170,I170,K170,M170,O170,Q170)</f>
        <v>166</v>
      </c>
      <c r="T170" s="7">
        <f>Tabelle2[[#This Row],[Robotron_Dauer]]*2+Tabelle2[[#This Row],[Schule_Dauer]]*5+Tabelle2[[#This Row],[Kletterarena_Dauer]]+Tabelle2[[#This Row],[Großeltern_Dauer]]</f>
        <v>261</v>
      </c>
    </row>
    <row r="171" spans="1:20" x14ac:dyDescent="0.2">
      <c r="A171" s="1">
        <v>171</v>
      </c>
      <c r="B171" s="2" t="s">
        <v>208</v>
      </c>
      <c r="C171" s="2">
        <v>51.081609100000001</v>
      </c>
      <c r="D171" s="2">
        <v>13.6047327</v>
      </c>
      <c r="E171" s="2" t="s">
        <v>209</v>
      </c>
      <c r="F171" s="2">
        <v>14.96</v>
      </c>
      <c r="G171" s="2">
        <v>28</v>
      </c>
      <c r="H171" s="2">
        <v>19.95</v>
      </c>
      <c r="I171" s="2">
        <v>26</v>
      </c>
      <c r="J171" s="2">
        <v>23.98</v>
      </c>
      <c r="K171" s="2">
        <v>28</v>
      </c>
      <c r="L171" s="2">
        <v>12.53</v>
      </c>
      <c r="M171" s="2">
        <v>23</v>
      </c>
      <c r="N171" s="2">
        <v>52.99</v>
      </c>
      <c r="O171" s="2">
        <v>46</v>
      </c>
      <c r="P171" s="2">
        <v>12.67</v>
      </c>
      <c r="Q171" s="2">
        <v>24</v>
      </c>
      <c r="R171" s="2">
        <f>SUM(F171,H171,J171,L171,N171,P171)</f>
        <v>137.07999999999998</v>
      </c>
      <c r="S171" s="3">
        <f>SUM(G171,I171,K171,M171,O171,Q171)</f>
        <v>175</v>
      </c>
      <c r="T171" s="7">
        <f>Tabelle2[[#This Row],[Robotron_Dauer]]*2+Tabelle2[[#This Row],[Schule_Dauer]]*5+Tabelle2[[#This Row],[Kletterarena_Dauer]]+Tabelle2[[#This Row],[Großeltern_Dauer]]</f>
        <v>261</v>
      </c>
    </row>
    <row r="172" spans="1:20" x14ac:dyDescent="0.2">
      <c r="A172" s="1">
        <v>168</v>
      </c>
      <c r="B172" s="2" t="s">
        <v>205</v>
      </c>
      <c r="C172" s="2">
        <v>51.095979399999997</v>
      </c>
      <c r="D172" s="2">
        <v>13.728426300000001</v>
      </c>
      <c r="E172" s="2" t="s">
        <v>17</v>
      </c>
      <c r="F172" s="2">
        <v>6.72</v>
      </c>
      <c r="G172" s="2">
        <v>16</v>
      </c>
      <c r="H172" s="2">
        <v>11.58</v>
      </c>
      <c r="I172" s="2">
        <v>28</v>
      </c>
      <c r="J172" s="2">
        <v>31.12</v>
      </c>
      <c r="K172" s="2">
        <v>31</v>
      </c>
      <c r="L172" s="2">
        <v>7.8</v>
      </c>
      <c r="M172" s="2">
        <v>20</v>
      </c>
      <c r="N172" s="2">
        <v>13.98</v>
      </c>
      <c r="O172" s="2">
        <v>31</v>
      </c>
      <c r="P172" s="2">
        <v>6.51</v>
      </c>
      <c r="Q172" s="2">
        <v>17</v>
      </c>
      <c r="R172" s="2">
        <f>SUM(F172,H172,J172,L172,N172,P172)</f>
        <v>77.710000000000008</v>
      </c>
      <c r="S172" s="3">
        <f>SUM(G172,I172,K172,M172,O172,Q172)</f>
        <v>143</v>
      </c>
      <c r="T172" s="7">
        <f>Tabelle2[[#This Row],[Robotron_Dauer]]*2+Tabelle2[[#This Row],[Schule_Dauer]]*5+Tabelle2[[#This Row],[Kletterarena_Dauer]]+Tabelle2[[#This Row],[Großeltern_Dauer]]</f>
        <v>262</v>
      </c>
    </row>
    <row r="173" spans="1:20" x14ac:dyDescent="0.2">
      <c r="A173" s="1">
        <v>288</v>
      </c>
      <c r="B173" s="2" t="s">
        <v>329</v>
      </c>
      <c r="C173" s="2">
        <v>50.843230400000003</v>
      </c>
      <c r="D173" s="2">
        <v>13.9552134</v>
      </c>
      <c r="E173" s="2" t="s">
        <v>19</v>
      </c>
      <c r="F173" s="2">
        <v>37.840000000000003</v>
      </c>
      <c r="G173" s="2">
        <v>40</v>
      </c>
      <c r="H173" s="2">
        <v>32.9</v>
      </c>
      <c r="I173" s="2">
        <v>28</v>
      </c>
      <c r="J173" s="2">
        <v>26.64</v>
      </c>
      <c r="K173" s="2">
        <v>26</v>
      </c>
      <c r="L173" s="2">
        <v>35.229999999999997</v>
      </c>
      <c r="M173" s="2">
        <v>35</v>
      </c>
      <c r="N173" s="2">
        <v>31.81</v>
      </c>
      <c r="O173" s="2">
        <v>41</v>
      </c>
      <c r="P173" s="2">
        <v>36.380000000000003</v>
      </c>
      <c r="Q173" s="2">
        <v>37</v>
      </c>
      <c r="R173" s="2">
        <f>SUM(F173,H173,J173,L173,N173,P173)</f>
        <v>200.8</v>
      </c>
      <c r="S173" s="3">
        <f>SUM(G173,I173,K173,M173,O173,Q173)</f>
        <v>207</v>
      </c>
      <c r="T173" s="7">
        <f>Tabelle2[[#This Row],[Robotron_Dauer]]*2+Tabelle2[[#This Row],[Schule_Dauer]]*5+Tabelle2[[#This Row],[Kletterarena_Dauer]]+Tabelle2[[#This Row],[Großeltern_Dauer]]</f>
        <v>262</v>
      </c>
    </row>
    <row r="174" spans="1:20" x14ac:dyDescent="0.2">
      <c r="A174" s="1">
        <v>24</v>
      </c>
      <c r="B174" s="2" t="s">
        <v>47</v>
      </c>
      <c r="C174" s="2">
        <v>50.998513600000003</v>
      </c>
      <c r="D174" s="2">
        <v>13.5912331</v>
      </c>
      <c r="E174" s="2" t="s">
        <v>19</v>
      </c>
      <c r="F174" s="2">
        <v>24.45</v>
      </c>
      <c r="G174" s="2">
        <v>37</v>
      </c>
      <c r="H174" s="2">
        <v>9.59</v>
      </c>
      <c r="I174" s="2">
        <v>20</v>
      </c>
      <c r="J174" s="2">
        <v>24.16</v>
      </c>
      <c r="K174" s="2">
        <v>29</v>
      </c>
      <c r="L174" s="2">
        <v>13.85</v>
      </c>
      <c r="M174" s="2">
        <v>28</v>
      </c>
      <c r="N174" s="2">
        <v>58.97</v>
      </c>
      <c r="O174" s="2">
        <v>50</v>
      </c>
      <c r="P174" s="2">
        <v>17.84</v>
      </c>
      <c r="Q174" s="2">
        <v>33</v>
      </c>
      <c r="R174" s="2">
        <f>SUM(F174,H174,J174,L174,N174,P174)</f>
        <v>148.85999999999999</v>
      </c>
      <c r="S174" s="3">
        <f>SUM(G174,I174,K174,M174,O174,Q174)</f>
        <v>197</v>
      </c>
      <c r="T174" s="7">
        <f>Tabelle2[[#This Row],[Robotron_Dauer]]*2+Tabelle2[[#This Row],[Schule_Dauer]]*5+Tabelle2[[#This Row],[Kletterarena_Dauer]]+Tabelle2[[#This Row],[Großeltern_Dauer]]</f>
        <v>263</v>
      </c>
    </row>
    <row r="175" spans="1:20" x14ac:dyDescent="0.2">
      <c r="A175" s="1">
        <v>166</v>
      </c>
      <c r="B175" s="2" t="s">
        <v>203</v>
      </c>
      <c r="C175" s="2">
        <v>51.112651499999998</v>
      </c>
      <c r="D175" s="2">
        <v>13.7595615</v>
      </c>
      <c r="E175" s="2" t="s">
        <v>19</v>
      </c>
      <c r="F175" s="2">
        <v>8.0399999999999991</v>
      </c>
      <c r="G175" s="2">
        <v>16</v>
      </c>
      <c r="H175" s="2">
        <v>29.83</v>
      </c>
      <c r="I175" s="2">
        <v>29</v>
      </c>
      <c r="J175" s="2">
        <v>33.86</v>
      </c>
      <c r="K175" s="2">
        <v>31</v>
      </c>
      <c r="L175" s="2">
        <v>10.42</v>
      </c>
      <c r="M175" s="2">
        <v>23</v>
      </c>
      <c r="N175" s="2">
        <v>15.3</v>
      </c>
      <c r="O175" s="2">
        <v>31</v>
      </c>
      <c r="P175" s="2">
        <v>9.1</v>
      </c>
      <c r="Q175" s="2">
        <v>21</v>
      </c>
      <c r="R175" s="2">
        <f>SUM(F175,H175,J175,L175,N175,P175)</f>
        <v>106.54999999999998</v>
      </c>
      <c r="S175" s="3">
        <f>SUM(G175,I175,K175,M175,O175,Q175)</f>
        <v>151</v>
      </c>
      <c r="T175" s="7">
        <f>Tabelle2[[#This Row],[Robotron_Dauer]]*2+Tabelle2[[#This Row],[Schule_Dauer]]*5+Tabelle2[[#This Row],[Kletterarena_Dauer]]+Tabelle2[[#This Row],[Großeltern_Dauer]]</f>
        <v>267</v>
      </c>
    </row>
    <row r="176" spans="1:20" x14ac:dyDescent="0.2">
      <c r="A176" s="1">
        <v>142</v>
      </c>
      <c r="B176" s="2" t="s">
        <v>51</v>
      </c>
      <c r="C176" s="2">
        <v>51.062389400000001</v>
      </c>
      <c r="D176" s="2">
        <v>14.013725000000001</v>
      </c>
      <c r="E176" s="2" t="s">
        <v>42</v>
      </c>
      <c r="F176" s="2">
        <v>18.989999999999998</v>
      </c>
      <c r="G176" s="2">
        <v>31</v>
      </c>
      <c r="H176" s="2">
        <v>35.67</v>
      </c>
      <c r="I176" s="2">
        <v>33</v>
      </c>
      <c r="J176" s="2">
        <v>29.41</v>
      </c>
      <c r="K176" s="2">
        <v>30</v>
      </c>
      <c r="L176" s="2">
        <v>37.99</v>
      </c>
      <c r="M176" s="2">
        <v>39</v>
      </c>
      <c r="N176" s="2">
        <v>10.54</v>
      </c>
      <c r="O176" s="2">
        <v>14</v>
      </c>
      <c r="P176" s="2">
        <v>21.47</v>
      </c>
      <c r="Q176" s="2">
        <v>37</v>
      </c>
      <c r="R176" s="2">
        <f>SUM(F176,H176,J176,L176,N176,P176)</f>
        <v>154.07</v>
      </c>
      <c r="S176" s="3">
        <f>SUM(G176,I176,K176,M176,O176,Q176)</f>
        <v>184</v>
      </c>
      <c r="T176" s="7">
        <f>Tabelle2[[#This Row],[Robotron_Dauer]]*2+Tabelle2[[#This Row],[Schule_Dauer]]*5+Tabelle2[[#This Row],[Kletterarena_Dauer]]+Tabelle2[[#This Row],[Großeltern_Dauer]]</f>
        <v>269</v>
      </c>
    </row>
    <row r="177" spans="1:20" x14ac:dyDescent="0.2">
      <c r="A177" s="1">
        <v>56</v>
      </c>
      <c r="B177" s="2" t="s">
        <v>82</v>
      </c>
      <c r="C177" s="2">
        <v>50.993353499999998</v>
      </c>
      <c r="D177" s="2">
        <v>13.9771392</v>
      </c>
      <c r="E177" s="2" t="s">
        <v>83</v>
      </c>
      <c r="F177" s="2">
        <v>20.77</v>
      </c>
      <c r="G177" s="2">
        <v>41</v>
      </c>
      <c r="H177" s="2">
        <v>28.96</v>
      </c>
      <c r="I177" s="2">
        <v>31</v>
      </c>
      <c r="J177" s="2">
        <v>22.7</v>
      </c>
      <c r="K177" s="2">
        <v>28</v>
      </c>
      <c r="L177" s="2">
        <v>31.28</v>
      </c>
      <c r="M177" s="2">
        <v>37</v>
      </c>
      <c r="N177" s="2">
        <v>14.34</v>
      </c>
      <c r="O177" s="2">
        <v>31</v>
      </c>
      <c r="P177" s="2">
        <v>32.44</v>
      </c>
      <c r="Q177" s="2">
        <v>40</v>
      </c>
      <c r="R177" s="2">
        <f>SUM(F177,H177,J177,L177,N177,P177)</f>
        <v>150.49</v>
      </c>
      <c r="S177" s="3">
        <f>SUM(G177,I177,K177,M177,O177,Q177)</f>
        <v>208</v>
      </c>
      <c r="T177" s="7">
        <f>Tabelle2[[#This Row],[Robotron_Dauer]]*2+Tabelle2[[#This Row],[Schule_Dauer]]*5+Tabelle2[[#This Row],[Kletterarena_Dauer]]+Tabelle2[[#This Row],[Großeltern_Dauer]]</f>
        <v>270</v>
      </c>
    </row>
    <row r="178" spans="1:20" x14ac:dyDescent="0.2">
      <c r="A178" s="1">
        <v>80</v>
      </c>
      <c r="B178" s="2" t="s">
        <v>113</v>
      </c>
      <c r="C178" s="2">
        <v>51.106607199999999</v>
      </c>
      <c r="D178" s="2">
        <v>13.679964099999999</v>
      </c>
      <c r="E178" s="2" t="s">
        <v>19</v>
      </c>
      <c r="F178" s="2">
        <v>9.57</v>
      </c>
      <c r="G178" s="2">
        <v>22</v>
      </c>
      <c r="H178" s="2">
        <v>28.19</v>
      </c>
      <c r="I178" s="2">
        <v>29</v>
      </c>
      <c r="J178" s="2">
        <v>32.22</v>
      </c>
      <c r="K178" s="2">
        <v>31</v>
      </c>
      <c r="L178" s="2">
        <v>10.45</v>
      </c>
      <c r="M178" s="2">
        <v>24</v>
      </c>
      <c r="N178" s="2">
        <v>42.16</v>
      </c>
      <c r="O178" s="2">
        <v>36</v>
      </c>
      <c r="P178" s="2">
        <v>9.16</v>
      </c>
      <c r="Q178" s="2">
        <v>22</v>
      </c>
      <c r="R178" s="2">
        <f>SUM(F178,H178,J178,L178,N178,P178)</f>
        <v>131.75</v>
      </c>
      <c r="S178" s="3">
        <f>SUM(G178,I178,K178,M178,O178,Q178)</f>
        <v>164</v>
      </c>
      <c r="T178" s="7">
        <f>Tabelle2[[#This Row],[Robotron_Dauer]]*2+Tabelle2[[#This Row],[Schule_Dauer]]*5+Tabelle2[[#This Row],[Kletterarena_Dauer]]+Tabelle2[[#This Row],[Großeltern_Dauer]]</f>
        <v>273</v>
      </c>
    </row>
    <row r="179" spans="1:20" x14ac:dyDescent="0.2">
      <c r="A179" s="1">
        <v>206</v>
      </c>
      <c r="B179" s="2" t="s">
        <v>245</v>
      </c>
      <c r="C179" s="2">
        <v>51.093645199999997</v>
      </c>
      <c r="D179" s="2">
        <v>13.6425258</v>
      </c>
      <c r="E179" s="2" t="s">
        <v>19</v>
      </c>
      <c r="F179" s="2">
        <v>12.17</v>
      </c>
      <c r="G179" s="2">
        <v>27</v>
      </c>
      <c r="H179" s="2">
        <v>12.79</v>
      </c>
      <c r="I179" s="2">
        <v>28</v>
      </c>
      <c r="J179" s="2">
        <v>27.57</v>
      </c>
      <c r="K179" s="2">
        <v>31</v>
      </c>
      <c r="L179" s="2">
        <v>9.74</v>
      </c>
      <c r="M179" s="2">
        <v>22</v>
      </c>
      <c r="N179" s="2">
        <v>49.69</v>
      </c>
      <c r="O179" s="2">
        <v>44</v>
      </c>
      <c r="P179" s="2">
        <v>9.8800000000000008</v>
      </c>
      <c r="Q179" s="2">
        <v>23</v>
      </c>
      <c r="R179" s="2">
        <f>SUM(F179,H179,J179,L179,N179,P179)</f>
        <v>121.84</v>
      </c>
      <c r="S179" s="3">
        <f>SUM(G179,I179,K179,M179,O179,Q179)</f>
        <v>175</v>
      </c>
      <c r="T179" s="7">
        <f>Tabelle2[[#This Row],[Robotron_Dauer]]*2+Tabelle2[[#This Row],[Schule_Dauer]]*5+Tabelle2[[#This Row],[Kletterarena_Dauer]]+Tabelle2[[#This Row],[Großeltern_Dauer]]</f>
        <v>277</v>
      </c>
    </row>
    <row r="180" spans="1:20" x14ac:dyDescent="0.2">
      <c r="A180" s="1">
        <v>10</v>
      </c>
      <c r="B180" s="2" t="s">
        <v>30</v>
      </c>
      <c r="C180" s="2">
        <v>50.916484199999999</v>
      </c>
      <c r="D180" s="2">
        <v>13.6450675</v>
      </c>
      <c r="E180" s="2" t="s">
        <v>19</v>
      </c>
      <c r="F180" s="2">
        <v>22.61</v>
      </c>
      <c r="G180" s="2">
        <v>40</v>
      </c>
      <c r="H180" s="2">
        <v>18.89</v>
      </c>
      <c r="I180" s="2">
        <v>27</v>
      </c>
      <c r="J180" s="2">
        <v>18.84</v>
      </c>
      <c r="K180" s="2">
        <v>28</v>
      </c>
      <c r="L180" s="2">
        <v>19.989999999999998</v>
      </c>
      <c r="M180" s="2">
        <v>35</v>
      </c>
      <c r="N180" s="2">
        <v>31.4</v>
      </c>
      <c r="O180" s="2">
        <v>54</v>
      </c>
      <c r="P180" s="2">
        <v>21.14</v>
      </c>
      <c r="Q180" s="2">
        <v>37</v>
      </c>
      <c r="R180" s="2">
        <f>SUM(F180,H180,J180,L180,N180,P180)</f>
        <v>132.87</v>
      </c>
      <c r="S180" s="3">
        <f>SUM(G180,I180,K180,M180,O180,Q180)</f>
        <v>221</v>
      </c>
      <c r="T180" s="7">
        <f>Tabelle2[[#This Row],[Robotron_Dauer]]*2+Tabelle2[[#This Row],[Schule_Dauer]]*5+Tabelle2[[#This Row],[Kletterarena_Dauer]]+Tabelle2[[#This Row],[Großeltern_Dauer]]</f>
        <v>283</v>
      </c>
    </row>
    <row r="181" spans="1:20" x14ac:dyDescent="0.2">
      <c r="A181" s="1">
        <v>256</v>
      </c>
      <c r="B181" s="2" t="s">
        <v>297</v>
      </c>
      <c r="C181" s="2">
        <v>50.895047900000002</v>
      </c>
      <c r="D181" s="2">
        <v>13.6633335</v>
      </c>
      <c r="E181" s="2" t="s">
        <v>19</v>
      </c>
      <c r="F181" s="2">
        <v>23.98</v>
      </c>
      <c r="G181" s="2">
        <v>41</v>
      </c>
      <c r="H181" s="2">
        <v>20.260000000000002</v>
      </c>
      <c r="I181" s="2">
        <v>28</v>
      </c>
      <c r="J181" s="2">
        <v>22.13</v>
      </c>
      <c r="K181" s="2">
        <v>28</v>
      </c>
      <c r="L181" s="2">
        <v>21.36</v>
      </c>
      <c r="M181" s="2">
        <v>36</v>
      </c>
      <c r="N181" s="2">
        <v>46.13</v>
      </c>
      <c r="O181" s="2">
        <v>52</v>
      </c>
      <c r="P181" s="2">
        <v>22.51</v>
      </c>
      <c r="Q181" s="2">
        <v>38</v>
      </c>
      <c r="R181" s="2">
        <f>SUM(F181,H181,J181,L181,N181,P181)</f>
        <v>156.37</v>
      </c>
      <c r="S181" s="3">
        <f>SUM(G181,I181,K181,M181,O181,Q181)</f>
        <v>223</v>
      </c>
      <c r="T181" s="7">
        <f>Tabelle2[[#This Row],[Robotron_Dauer]]*2+Tabelle2[[#This Row],[Schule_Dauer]]*5+Tabelle2[[#This Row],[Kletterarena_Dauer]]+Tabelle2[[#This Row],[Großeltern_Dauer]]</f>
        <v>284</v>
      </c>
    </row>
    <row r="182" spans="1:20" x14ac:dyDescent="0.2">
      <c r="A182" s="1">
        <v>153</v>
      </c>
      <c r="B182" s="2" t="s">
        <v>191</v>
      </c>
      <c r="C182" s="2">
        <v>51.118850100000003</v>
      </c>
      <c r="D182" s="2">
        <v>13.6716604</v>
      </c>
      <c r="E182" s="2" t="s">
        <v>192</v>
      </c>
      <c r="F182" s="2">
        <v>12.15</v>
      </c>
      <c r="G182" s="2">
        <v>26</v>
      </c>
      <c r="H182" s="2">
        <v>29.18</v>
      </c>
      <c r="I182" s="2">
        <v>30</v>
      </c>
      <c r="J182" s="2">
        <v>33.21</v>
      </c>
      <c r="K182" s="2">
        <v>32</v>
      </c>
      <c r="L182" s="2">
        <v>14.28</v>
      </c>
      <c r="M182" s="2">
        <v>27</v>
      </c>
      <c r="N182" s="2">
        <v>43.16</v>
      </c>
      <c r="O182" s="2">
        <v>38</v>
      </c>
      <c r="P182" s="2">
        <v>13.93</v>
      </c>
      <c r="Q182" s="2">
        <v>26</v>
      </c>
      <c r="R182" s="2">
        <f>SUM(F182,H182,J182,L182,N182,P182)</f>
        <v>145.91</v>
      </c>
      <c r="S182" s="3">
        <f>SUM(G182,I182,K182,M182,O182,Q182)</f>
        <v>179</v>
      </c>
      <c r="T182" s="7">
        <f>Tabelle2[[#This Row],[Robotron_Dauer]]*2+Tabelle2[[#This Row],[Schule_Dauer]]*5+Tabelle2[[#This Row],[Kletterarena_Dauer]]+Tabelle2[[#This Row],[Großeltern_Dauer]]</f>
        <v>285</v>
      </c>
    </row>
    <row r="183" spans="1:20" x14ac:dyDescent="0.2">
      <c r="A183" s="1">
        <v>287</v>
      </c>
      <c r="B183" s="2" t="s">
        <v>328</v>
      </c>
      <c r="C183" s="2">
        <v>51.013534999999997</v>
      </c>
      <c r="D183" s="2">
        <v>14.0277826</v>
      </c>
      <c r="E183" s="2" t="s">
        <v>19</v>
      </c>
      <c r="F183" s="2">
        <v>26.88</v>
      </c>
      <c r="G183" s="2">
        <v>41</v>
      </c>
      <c r="H183" s="2">
        <v>34.35</v>
      </c>
      <c r="I183" s="2">
        <v>34</v>
      </c>
      <c r="J183" s="2">
        <v>28.09</v>
      </c>
      <c r="K183" s="2">
        <v>31</v>
      </c>
      <c r="L183" s="2">
        <v>36.68</v>
      </c>
      <c r="M183" s="2">
        <v>40</v>
      </c>
      <c r="N183" s="2">
        <v>12.72</v>
      </c>
      <c r="O183" s="2">
        <v>23</v>
      </c>
      <c r="P183" s="2">
        <v>37.83</v>
      </c>
      <c r="Q183" s="2">
        <v>42</v>
      </c>
      <c r="R183" s="2">
        <f>SUM(F183,H183,J183,L183,N183,P183)</f>
        <v>176.55</v>
      </c>
      <c r="S183" s="3">
        <f>SUM(G183,I183,K183,M183,O183,Q183)</f>
        <v>211</v>
      </c>
      <c r="T183" s="7">
        <f>Tabelle2[[#This Row],[Robotron_Dauer]]*2+Tabelle2[[#This Row],[Schule_Dauer]]*5+Tabelle2[[#This Row],[Kletterarena_Dauer]]+Tabelle2[[#This Row],[Großeltern_Dauer]]</f>
        <v>286</v>
      </c>
    </row>
    <row r="184" spans="1:20" x14ac:dyDescent="0.2">
      <c r="A184" s="1">
        <v>167</v>
      </c>
      <c r="B184" s="2" t="s">
        <v>204</v>
      </c>
      <c r="C184" s="2">
        <v>51.118628399999999</v>
      </c>
      <c r="D184" s="2">
        <v>13.7781539</v>
      </c>
      <c r="E184" s="2" t="s">
        <v>19</v>
      </c>
      <c r="F184" s="2">
        <v>9.07</v>
      </c>
      <c r="G184" s="2">
        <v>19</v>
      </c>
      <c r="H184" s="2">
        <v>31.39</v>
      </c>
      <c r="I184" s="2">
        <v>31</v>
      </c>
      <c r="J184" s="2">
        <v>35.42</v>
      </c>
      <c r="K184" s="2">
        <v>33</v>
      </c>
      <c r="L184" s="2">
        <v>11.45</v>
      </c>
      <c r="M184" s="2">
        <v>27</v>
      </c>
      <c r="N184" s="2">
        <v>38</v>
      </c>
      <c r="O184" s="2">
        <v>33</v>
      </c>
      <c r="P184" s="2">
        <v>10.130000000000001</v>
      </c>
      <c r="Q184" s="2">
        <v>24</v>
      </c>
      <c r="R184" s="2">
        <f>SUM(F184,H184,J184,L184,N184,P184)</f>
        <v>135.46</v>
      </c>
      <c r="S184" s="3">
        <f>SUM(G184,I184,K184,M184,O184,Q184)</f>
        <v>167</v>
      </c>
      <c r="T184" s="7">
        <f>Tabelle2[[#This Row],[Robotron_Dauer]]*2+Tabelle2[[#This Row],[Schule_Dauer]]*5+Tabelle2[[#This Row],[Kletterarena_Dauer]]+Tabelle2[[#This Row],[Großeltern_Dauer]]</f>
        <v>287</v>
      </c>
    </row>
    <row r="185" spans="1:20" x14ac:dyDescent="0.2">
      <c r="A185" s="1">
        <v>18</v>
      </c>
      <c r="B185" s="2" t="s">
        <v>38</v>
      </c>
      <c r="C185" s="2">
        <v>51.182698000000002</v>
      </c>
      <c r="D185" s="2">
        <v>13.836123799999999</v>
      </c>
      <c r="E185" s="2" t="s">
        <v>39</v>
      </c>
      <c r="F185" s="2">
        <v>20.239999999999998</v>
      </c>
      <c r="G185" s="2">
        <v>26</v>
      </c>
      <c r="H185" s="2">
        <v>38.590000000000003</v>
      </c>
      <c r="I185" s="2">
        <v>32</v>
      </c>
      <c r="J185" s="2">
        <v>42.62</v>
      </c>
      <c r="K185" s="2">
        <v>34</v>
      </c>
      <c r="L185" s="2">
        <v>23.69</v>
      </c>
      <c r="M185" s="2">
        <v>28</v>
      </c>
      <c r="N185" s="2">
        <v>27.46</v>
      </c>
      <c r="O185" s="2">
        <v>25</v>
      </c>
      <c r="P185" s="2">
        <v>23.34</v>
      </c>
      <c r="Q185" s="2">
        <v>28</v>
      </c>
      <c r="R185" s="2">
        <f>SUM(F185,H185,J185,L185,N185,P185)</f>
        <v>175.94</v>
      </c>
      <c r="S185" s="3">
        <f>SUM(G185,I185,K185,M185,O185,Q185)</f>
        <v>173</v>
      </c>
      <c r="T185" s="7">
        <f>Tabelle2[[#This Row],[Robotron_Dauer]]*2+Tabelle2[[#This Row],[Schule_Dauer]]*5+Tabelle2[[#This Row],[Kletterarena_Dauer]]+Tabelle2[[#This Row],[Großeltern_Dauer]]</f>
        <v>287</v>
      </c>
    </row>
    <row r="186" spans="1:20" x14ac:dyDescent="0.2">
      <c r="A186" s="1">
        <v>77</v>
      </c>
      <c r="B186" s="2" t="s">
        <v>110</v>
      </c>
      <c r="C186" s="2">
        <v>51.105259599999997</v>
      </c>
      <c r="D186" s="2">
        <v>13.630910699999999</v>
      </c>
      <c r="E186" s="2" t="s">
        <v>19</v>
      </c>
      <c r="F186" s="2">
        <v>12.64</v>
      </c>
      <c r="G186" s="2">
        <v>27</v>
      </c>
      <c r="H186" s="2">
        <v>26.79</v>
      </c>
      <c r="I186" s="2">
        <v>30</v>
      </c>
      <c r="J186" s="2">
        <v>30.82</v>
      </c>
      <c r="K186" s="2">
        <v>32</v>
      </c>
      <c r="L186" s="2">
        <v>12.07</v>
      </c>
      <c r="M186" s="2">
        <v>26</v>
      </c>
      <c r="N186" s="2">
        <v>46.97</v>
      </c>
      <c r="O186" s="2">
        <v>42</v>
      </c>
      <c r="P186" s="2">
        <v>11.72</v>
      </c>
      <c r="Q186" s="2">
        <v>25</v>
      </c>
      <c r="R186" s="2">
        <f>SUM(F186,H186,J186,L186,N186,P186)</f>
        <v>141.01</v>
      </c>
      <c r="S186" s="3">
        <f>SUM(G186,I186,K186,M186,O186,Q186)</f>
        <v>182</v>
      </c>
      <c r="T186" s="7">
        <f>Tabelle2[[#This Row],[Robotron_Dauer]]*2+Tabelle2[[#This Row],[Schule_Dauer]]*5+Tabelle2[[#This Row],[Kletterarena_Dauer]]+Tabelle2[[#This Row],[Großeltern_Dauer]]</f>
        <v>288</v>
      </c>
    </row>
    <row r="187" spans="1:20" x14ac:dyDescent="0.2">
      <c r="A187" s="1">
        <v>104</v>
      </c>
      <c r="B187" s="2" t="s">
        <v>85</v>
      </c>
      <c r="C187" s="2">
        <v>50.957090999999998</v>
      </c>
      <c r="D187" s="2">
        <v>14.0307534</v>
      </c>
      <c r="E187" s="2" t="s">
        <v>131</v>
      </c>
      <c r="F187" s="2">
        <v>25.21</v>
      </c>
      <c r="G187" s="2">
        <v>43</v>
      </c>
      <c r="H187" s="2">
        <v>33.39</v>
      </c>
      <c r="I187" s="2">
        <v>33</v>
      </c>
      <c r="J187" s="2">
        <v>27.14</v>
      </c>
      <c r="K187" s="2">
        <v>30</v>
      </c>
      <c r="L187" s="2">
        <v>35.72</v>
      </c>
      <c r="M187" s="2">
        <v>39</v>
      </c>
      <c r="N187" s="2">
        <v>22.72</v>
      </c>
      <c r="O187" s="2">
        <v>33</v>
      </c>
      <c r="P187" s="2">
        <v>36.880000000000003</v>
      </c>
      <c r="Q187" s="2">
        <v>42</v>
      </c>
      <c r="R187" s="2">
        <f>SUM(F187,H187,J187,L187,N187,P187)</f>
        <v>181.06</v>
      </c>
      <c r="S187" s="3">
        <f>SUM(G187,I187,K187,M187,O187,Q187)</f>
        <v>220</v>
      </c>
      <c r="T187" s="7">
        <f>Tabelle2[[#This Row],[Robotron_Dauer]]*2+Tabelle2[[#This Row],[Schule_Dauer]]*5+Tabelle2[[#This Row],[Kletterarena_Dauer]]+Tabelle2[[#This Row],[Großeltern_Dauer]]</f>
        <v>288</v>
      </c>
    </row>
    <row r="188" spans="1:20" x14ac:dyDescent="0.2">
      <c r="A188" s="1">
        <v>248</v>
      </c>
      <c r="B188" s="2" t="s">
        <v>288</v>
      </c>
      <c r="C188" s="2">
        <v>50.976378599999997</v>
      </c>
      <c r="D188" s="2">
        <v>13.604124300000001</v>
      </c>
      <c r="E188" s="2" t="s">
        <v>19</v>
      </c>
      <c r="F188" s="2">
        <v>17.93</v>
      </c>
      <c r="G188" s="2">
        <v>41</v>
      </c>
      <c r="H188" s="2">
        <v>10</v>
      </c>
      <c r="I188" s="2">
        <v>23</v>
      </c>
      <c r="J188" s="2">
        <v>18.05</v>
      </c>
      <c r="K188" s="2">
        <v>31</v>
      </c>
      <c r="L188" s="2">
        <v>13.49</v>
      </c>
      <c r="M188" s="2">
        <v>32</v>
      </c>
      <c r="N188" s="2">
        <v>32.229999999999997</v>
      </c>
      <c r="O188" s="2">
        <v>57</v>
      </c>
      <c r="P188" s="2">
        <v>16.46</v>
      </c>
      <c r="Q188" s="2">
        <v>38</v>
      </c>
      <c r="R188" s="2">
        <f>SUM(F188,H188,J188,L188,N188,P188)</f>
        <v>108.16</v>
      </c>
      <c r="S188" s="3">
        <f>SUM(G188,I188,K188,M188,O188,Q188)</f>
        <v>222</v>
      </c>
      <c r="T188" s="7">
        <f>Tabelle2[[#This Row],[Robotron_Dauer]]*2+Tabelle2[[#This Row],[Schule_Dauer]]*5+Tabelle2[[#This Row],[Kletterarena_Dauer]]+Tabelle2[[#This Row],[Großeltern_Dauer]]</f>
        <v>290</v>
      </c>
    </row>
    <row r="189" spans="1:20" x14ac:dyDescent="0.2">
      <c r="A189" s="1">
        <v>25</v>
      </c>
      <c r="B189" s="2" t="s">
        <v>48</v>
      </c>
      <c r="C189" s="2">
        <v>50.985339099999997</v>
      </c>
      <c r="D189" s="2">
        <v>13.579490699999999</v>
      </c>
      <c r="E189" s="2" t="s">
        <v>19</v>
      </c>
      <c r="F189" s="2">
        <v>19.149999999999999</v>
      </c>
      <c r="G189" s="2">
        <v>41</v>
      </c>
      <c r="H189" s="2">
        <v>11.22</v>
      </c>
      <c r="I189" s="2">
        <v>23</v>
      </c>
      <c r="J189" s="2">
        <v>18.45</v>
      </c>
      <c r="K189" s="2">
        <v>32</v>
      </c>
      <c r="L189" s="2">
        <v>14.71</v>
      </c>
      <c r="M189" s="2">
        <v>31</v>
      </c>
      <c r="N189" s="2">
        <v>61</v>
      </c>
      <c r="O189" s="2">
        <v>54</v>
      </c>
      <c r="P189" s="2">
        <v>19.88</v>
      </c>
      <c r="Q189" s="2">
        <v>37</v>
      </c>
      <c r="R189" s="2">
        <f>SUM(F189,H189,J189,L189,N189,P189)</f>
        <v>144.41</v>
      </c>
      <c r="S189" s="3">
        <f>SUM(G189,I189,K189,M189,O189,Q189)</f>
        <v>218</v>
      </c>
      <c r="T189" s="7">
        <f>Tabelle2[[#This Row],[Robotron_Dauer]]*2+Tabelle2[[#This Row],[Schule_Dauer]]*5+Tabelle2[[#This Row],[Kletterarena_Dauer]]+Tabelle2[[#This Row],[Großeltern_Dauer]]</f>
        <v>291</v>
      </c>
    </row>
    <row r="190" spans="1:20" x14ac:dyDescent="0.2">
      <c r="A190" s="1">
        <v>89</v>
      </c>
      <c r="B190" s="2" t="s">
        <v>123</v>
      </c>
      <c r="C190" s="2">
        <v>51.214924799999999</v>
      </c>
      <c r="D190" s="2">
        <v>13.724117400000001</v>
      </c>
      <c r="E190" s="2" t="s">
        <v>19</v>
      </c>
      <c r="F190" s="2">
        <v>21.06</v>
      </c>
      <c r="G190" s="2">
        <v>26</v>
      </c>
      <c r="H190" s="2">
        <v>39.42</v>
      </c>
      <c r="I190" s="2">
        <v>32</v>
      </c>
      <c r="J190" s="2">
        <v>43.44</v>
      </c>
      <c r="K190" s="2">
        <v>34</v>
      </c>
      <c r="L190" s="2">
        <v>24.51</v>
      </c>
      <c r="M190" s="2">
        <v>28</v>
      </c>
      <c r="N190" s="2">
        <v>44.35</v>
      </c>
      <c r="O190" s="2">
        <v>34</v>
      </c>
      <c r="P190" s="2">
        <v>24.16</v>
      </c>
      <c r="Q190" s="2">
        <v>28</v>
      </c>
      <c r="R190" s="2">
        <f>SUM(F190,H190,J190,L190,N190,P190)</f>
        <v>196.94</v>
      </c>
      <c r="S190" s="3">
        <f>SUM(G190,I190,K190,M190,O190,Q190)</f>
        <v>182</v>
      </c>
      <c r="T190" s="7">
        <f>Tabelle2[[#This Row],[Robotron_Dauer]]*2+Tabelle2[[#This Row],[Schule_Dauer]]*5+Tabelle2[[#This Row],[Kletterarena_Dauer]]+Tabelle2[[#This Row],[Großeltern_Dauer]]</f>
        <v>296</v>
      </c>
    </row>
    <row r="191" spans="1:20" x14ac:dyDescent="0.2">
      <c r="A191" s="1">
        <v>170</v>
      </c>
      <c r="B191" s="2" t="s">
        <v>207</v>
      </c>
      <c r="C191" s="2">
        <v>51.090646</v>
      </c>
      <c r="D191" s="2">
        <v>13.6064712</v>
      </c>
      <c r="E191" s="2" t="s">
        <v>19</v>
      </c>
      <c r="F191" s="2">
        <v>13.76</v>
      </c>
      <c r="G191" s="2">
        <v>30</v>
      </c>
      <c r="H191" s="2">
        <v>14.37</v>
      </c>
      <c r="I191" s="2">
        <v>31</v>
      </c>
      <c r="J191" s="2">
        <v>29.15</v>
      </c>
      <c r="K191" s="2">
        <v>33</v>
      </c>
      <c r="L191" s="2">
        <v>11.32</v>
      </c>
      <c r="M191" s="2">
        <v>24</v>
      </c>
      <c r="N191" s="2">
        <v>51.27</v>
      </c>
      <c r="O191" s="2">
        <v>46</v>
      </c>
      <c r="P191" s="2">
        <v>11.46</v>
      </c>
      <c r="Q191" s="2">
        <v>25</v>
      </c>
      <c r="R191" s="2">
        <f>SUM(F191,H191,J191,L191,N191,P191)</f>
        <v>131.33000000000001</v>
      </c>
      <c r="S191" s="3">
        <f>SUM(G191,I191,K191,M191,O191,Q191)</f>
        <v>189</v>
      </c>
      <c r="T191" s="7">
        <f>Tabelle2[[#This Row],[Robotron_Dauer]]*2+Tabelle2[[#This Row],[Schule_Dauer]]*5+Tabelle2[[#This Row],[Kletterarena_Dauer]]+Tabelle2[[#This Row],[Großeltern_Dauer]]</f>
        <v>297</v>
      </c>
    </row>
    <row r="192" spans="1:20" x14ac:dyDescent="0.2">
      <c r="A192" s="1">
        <v>38</v>
      </c>
      <c r="B192" s="2" t="s">
        <v>65</v>
      </c>
      <c r="C192" s="2">
        <v>51.086280500000001</v>
      </c>
      <c r="D192" s="2">
        <v>14.0172773</v>
      </c>
      <c r="E192" s="2" t="s">
        <v>64</v>
      </c>
      <c r="F192" s="2">
        <v>20.95</v>
      </c>
      <c r="G192" s="2">
        <v>33</v>
      </c>
      <c r="H192" s="2">
        <v>38.67</v>
      </c>
      <c r="I192" s="2">
        <v>37</v>
      </c>
      <c r="J192" s="2">
        <v>32.409999999999997</v>
      </c>
      <c r="K192" s="2">
        <v>34</v>
      </c>
      <c r="L192" s="2">
        <v>41</v>
      </c>
      <c r="M192" s="2">
        <v>43</v>
      </c>
      <c r="N192" s="2">
        <v>12.5</v>
      </c>
      <c r="O192" s="2">
        <v>16</v>
      </c>
      <c r="P192" s="2">
        <v>23.43</v>
      </c>
      <c r="Q192" s="2">
        <v>39</v>
      </c>
      <c r="R192" s="2">
        <f>SUM(F192,H192,J192,L192,N192,P192)</f>
        <v>168.96</v>
      </c>
      <c r="S192" s="3">
        <f>SUM(G192,I192,K192,M192,O192,Q192)</f>
        <v>202</v>
      </c>
      <c r="T192" s="7">
        <f>Tabelle2[[#This Row],[Robotron_Dauer]]*2+Tabelle2[[#This Row],[Schule_Dauer]]*5+Tabelle2[[#This Row],[Kletterarena_Dauer]]+Tabelle2[[#This Row],[Großeltern_Dauer]]</f>
        <v>303</v>
      </c>
    </row>
    <row r="193" spans="1:20" x14ac:dyDescent="0.2">
      <c r="A193" s="1">
        <v>112</v>
      </c>
      <c r="B193" s="2" t="s">
        <v>147</v>
      </c>
      <c r="C193" s="2">
        <v>50.850209499999998</v>
      </c>
      <c r="D193" s="2">
        <v>13.776676699999999</v>
      </c>
      <c r="E193" s="2" t="s">
        <v>19</v>
      </c>
      <c r="F193" s="2">
        <v>35.17</v>
      </c>
      <c r="G193" s="2">
        <v>45</v>
      </c>
      <c r="H193" s="2">
        <v>30.22</v>
      </c>
      <c r="I193" s="2">
        <v>33</v>
      </c>
      <c r="J193" s="2">
        <v>23.6</v>
      </c>
      <c r="K193" s="2">
        <v>29</v>
      </c>
      <c r="L193" s="2">
        <v>32.549999999999997</v>
      </c>
      <c r="M193" s="2">
        <v>39</v>
      </c>
      <c r="N193" s="2">
        <v>39.090000000000003</v>
      </c>
      <c r="O193" s="2">
        <v>53</v>
      </c>
      <c r="P193" s="2">
        <v>33.700000000000003</v>
      </c>
      <c r="Q193" s="2">
        <v>42</v>
      </c>
      <c r="R193" s="2">
        <f>SUM(F193,H193,J193,L193,N193,P193)</f>
        <v>194.32999999999998</v>
      </c>
      <c r="S193" s="3">
        <f>SUM(G193,I193,K193,M193,O193,Q193)</f>
        <v>241</v>
      </c>
      <c r="T193" s="7">
        <f>Tabelle2[[#This Row],[Robotron_Dauer]]*2+Tabelle2[[#This Row],[Schule_Dauer]]*5+Tabelle2[[#This Row],[Kletterarena_Dauer]]+Tabelle2[[#This Row],[Großeltern_Dauer]]</f>
        <v>303</v>
      </c>
    </row>
    <row r="194" spans="1:20" x14ac:dyDescent="0.2">
      <c r="A194" s="1">
        <v>78</v>
      </c>
      <c r="B194" s="2" t="s">
        <v>111</v>
      </c>
      <c r="C194" s="2">
        <v>51.109916800000001</v>
      </c>
      <c r="D194" s="2">
        <v>13.644504899999999</v>
      </c>
      <c r="E194" s="2" t="s">
        <v>19</v>
      </c>
      <c r="F194" s="2">
        <v>12.36</v>
      </c>
      <c r="G194" s="2">
        <v>28</v>
      </c>
      <c r="H194" s="2">
        <v>27.35</v>
      </c>
      <c r="I194" s="2">
        <v>32</v>
      </c>
      <c r="J194" s="2">
        <v>31.37</v>
      </c>
      <c r="K194" s="2">
        <v>34</v>
      </c>
      <c r="L194" s="2">
        <v>12.62</v>
      </c>
      <c r="M194" s="2">
        <v>27</v>
      </c>
      <c r="N194" s="2">
        <v>45.84</v>
      </c>
      <c r="O194" s="2">
        <v>44</v>
      </c>
      <c r="P194" s="2">
        <v>12.27</v>
      </c>
      <c r="Q194" s="2">
        <v>27</v>
      </c>
      <c r="R194" s="2">
        <f>SUM(F194,H194,J194,L194,N194,P194)</f>
        <v>141.81000000000003</v>
      </c>
      <c r="S194" s="3">
        <f>SUM(G194,I194,K194,M194,O194,Q194)</f>
        <v>192</v>
      </c>
      <c r="T194" s="7">
        <f>Tabelle2[[#This Row],[Robotron_Dauer]]*2+Tabelle2[[#This Row],[Schule_Dauer]]*5+Tabelle2[[#This Row],[Kletterarena_Dauer]]+Tabelle2[[#This Row],[Großeltern_Dauer]]</f>
        <v>305</v>
      </c>
    </row>
    <row r="195" spans="1:20" x14ac:dyDescent="0.2">
      <c r="A195" s="1">
        <v>176</v>
      </c>
      <c r="B195" s="2" t="s">
        <v>67</v>
      </c>
      <c r="C195" s="2">
        <v>51.183829799999998</v>
      </c>
      <c r="D195" s="2">
        <v>13.808195899999999</v>
      </c>
      <c r="E195" s="2" t="s">
        <v>215</v>
      </c>
      <c r="F195" s="2">
        <v>20.39</v>
      </c>
      <c r="G195" s="2">
        <v>28</v>
      </c>
      <c r="H195" s="2">
        <v>38.75</v>
      </c>
      <c r="I195" s="2">
        <v>34</v>
      </c>
      <c r="J195" s="2">
        <v>42.77</v>
      </c>
      <c r="K195" s="2">
        <v>36</v>
      </c>
      <c r="L195" s="2">
        <v>23.84</v>
      </c>
      <c r="M195" s="2">
        <v>30</v>
      </c>
      <c r="N195" s="2">
        <v>29.58</v>
      </c>
      <c r="O195" s="2">
        <v>28</v>
      </c>
      <c r="P195" s="2">
        <v>23.49</v>
      </c>
      <c r="Q195" s="2">
        <v>29</v>
      </c>
      <c r="R195" s="2">
        <f>SUM(F195,H195,J195,L195,N195,P195)</f>
        <v>178.82</v>
      </c>
      <c r="S195" s="3">
        <f>SUM(G195,I195,K195,M195,O195,Q195)</f>
        <v>185</v>
      </c>
      <c r="T195" s="7">
        <f>Tabelle2[[#This Row],[Robotron_Dauer]]*2+Tabelle2[[#This Row],[Schule_Dauer]]*5+Tabelle2[[#This Row],[Kletterarena_Dauer]]+Tabelle2[[#This Row],[Großeltern_Dauer]]</f>
        <v>306</v>
      </c>
    </row>
    <row r="196" spans="1:20" x14ac:dyDescent="0.2">
      <c r="A196" s="1">
        <v>92</v>
      </c>
      <c r="B196" s="2" t="s">
        <v>128</v>
      </c>
      <c r="C196" s="2">
        <v>51.144764899999998</v>
      </c>
      <c r="D196" s="2">
        <v>13.800645599999999</v>
      </c>
      <c r="E196" s="2" t="s">
        <v>19</v>
      </c>
      <c r="F196" s="2">
        <v>12.15</v>
      </c>
      <c r="G196" s="2">
        <v>25</v>
      </c>
      <c r="H196" s="2">
        <v>37.1</v>
      </c>
      <c r="I196" s="2">
        <v>34</v>
      </c>
      <c r="J196" s="2">
        <v>41.13</v>
      </c>
      <c r="K196" s="2">
        <v>36</v>
      </c>
      <c r="L196" s="2">
        <v>22.2</v>
      </c>
      <c r="M196" s="2">
        <v>30</v>
      </c>
      <c r="N196" s="2">
        <v>31.33</v>
      </c>
      <c r="O196" s="2">
        <v>30</v>
      </c>
      <c r="P196" s="2">
        <v>13.21</v>
      </c>
      <c r="Q196" s="2">
        <v>30</v>
      </c>
      <c r="R196" s="2">
        <f>SUM(F196,H196,J196,L196,N196,P196)</f>
        <v>157.12</v>
      </c>
      <c r="S196" s="3">
        <f>SUM(G196,I196,K196,M196,O196,Q196)</f>
        <v>185</v>
      </c>
      <c r="T196" s="7">
        <f>Tabelle2[[#This Row],[Robotron_Dauer]]*2+Tabelle2[[#This Row],[Schule_Dauer]]*5+Tabelle2[[#This Row],[Kletterarena_Dauer]]+Tabelle2[[#This Row],[Großeltern_Dauer]]</f>
        <v>308</v>
      </c>
    </row>
    <row r="197" spans="1:20" x14ac:dyDescent="0.2">
      <c r="A197" s="1">
        <v>154</v>
      </c>
      <c r="B197" s="2" t="s">
        <v>193</v>
      </c>
      <c r="C197" s="2">
        <v>51.037115800000002</v>
      </c>
      <c r="D197" s="2">
        <v>14.041276699999999</v>
      </c>
      <c r="E197" s="2" t="s">
        <v>96</v>
      </c>
      <c r="F197" s="2">
        <v>22.77</v>
      </c>
      <c r="G197" s="2">
        <v>39</v>
      </c>
      <c r="H197" s="2">
        <v>36.03</v>
      </c>
      <c r="I197" s="2">
        <v>37</v>
      </c>
      <c r="J197" s="2">
        <v>29.77</v>
      </c>
      <c r="K197" s="2">
        <v>34</v>
      </c>
      <c r="L197" s="2">
        <v>38.35</v>
      </c>
      <c r="M197" s="2">
        <v>43</v>
      </c>
      <c r="N197" s="2">
        <v>14.32</v>
      </c>
      <c r="O197" s="2">
        <v>22</v>
      </c>
      <c r="P197" s="2">
        <v>25.25</v>
      </c>
      <c r="Q197" s="2">
        <v>45</v>
      </c>
      <c r="R197" s="2">
        <f>SUM(F197,H197,J197,L197,N197,P197)</f>
        <v>166.48999999999998</v>
      </c>
      <c r="S197" s="3">
        <f>SUM(G197,I197,K197,M197,O197,Q197)</f>
        <v>220</v>
      </c>
      <c r="T197" s="7">
        <f>Tabelle2[[#This Row],[Robotron_Dauer]]*2+Tabelle2[[#This Row],[Schule_Dauer]]*5+Tabelle2[[#This Row],[Kletterarena_Dauer]]+Tabelle2[[#This Row],[Großeltern_Dauer]]</f>
        <v>309</v>
      </c>
    </row>
    <row r="198" spans="1:20" x14ac:dyDescent="0.2">
      <c r="A198" s="1">
        <v>147</v>
      </c>
      <c r="B198" s="2" t="s">
        <v>184</v>
      </c>
      <c r="C198" s="2">
        <v>51.011691499999998</v>
      </c>
      <c r="D198" s="2">
        <v>14.0627253</v>
      </c>
      <c r="E198" s="2" t="s">
        <v>122</v>
      </c>
      <c r="F198" s="2">
        <v>29.04</v>
      </c>
      <c r="G198" s="2">
        <v>44</v>
      </c>
      <c r="H198" s="2">
        <v>36.799999999999997</v>
      </c>
      <c r="I198" s="2">
        <v>37</v>
      </c>
      <c r="J198" s="2">
        <v>30.54</v>
      </c>
      <c r="K198" s="2">
        <v>34</v>
      </c>
      <c r="L198" s="2">
        <v>39.130000000000003</v>
      </c>
      <c r="M198" s="2">
        <v>44</v>
      </c>
      <c r="N198" s="2">
        <v>14.88</v>
      </c>
      <c r="O198" s="2">
        <v>26</v>
      </c>
      <c r="P198" s="2">
        <v>40.28</v>
      </c>
      <c r="Q198" s="2">
        <v>46</v>
      </c>
      <c r="R198" s="2">
        <f>SUM(F198,H198,J198,L198,N198,P198)</f>
        <v>190.67</v>
      </c>
      <c r="S198" s="3">
        <f>SUM(G198,I198,K198,M198,O198,Q198)</f>
        <v>231</v>
      </c>
      <c r="T198" s="7">
        <f>Tabelle2[[#This Row],[Robotron_Dauer]]*2+Tabelle2[[#This Row],[Schule_Dauer]]*5+Tabelle2[[#This Row],[Kletterarena_Dauer]]+Tabelle2[[#This Row],[Großeltern_Dauer]]</f>
        <v>314</v>
      </c>
    </row>
    <row r="199" spans="1:20" x14ac:dyDescent="0.2">
      <c r="A199" s="1">
        <v>137</v>
      </c>
      <c r="B199" s="2" t="s">
        <v>175</v>
      </c>
      <c r="C199" s="2">
        <v>51.060724499999999</v>
      </c>
      <c r="D199" s="2">
        <v>14.0670938</v>
      </c>
      <c r="E199" s="2" t="s">
        <v>96</v>
      </c>
      <c r="F199" s="2">
        <v>23.31</v>
      </c>
      <c r="G199" s="2">
        <v>36</v>
      </c>
      <c r="H199" s="2">
        <v>39.99</v>
      </c>
      <c r="I199" s="2">
        <v>38</v>
      </c>
      <c r="J199" s="2">
        <v>33.729999999999997</v>
      </c>
      <c r="K199" s="2">
        <v>35</v>
      </c>
      <c r="L199" s="2">
        <v>42.32</v>
      </c>
      <c r="M199" s="2">
        <v>45</v>
      </c>
      <c r="N199" s="2">
        <v>14.86</v>
      </c>
      <c r="O199" s="2">
        <v>20</v>
      </c>
      <c r="P199" s="2">
        <v>25.79</v>
      </c>
      <c r="Q199" s="2">
        <v>42</v>
      </c>
      <c r="R199" s="2">
        <f>SUM(F199,H199,J199,L199,N199,P199)</f>
        <v>179.99999999999997</v>
      </c>
      <c r="S199" s="3">
        <f>SUM(G199,I199,K199,M199,O199,Q199)</f>
        <v>216</v>
      </c>
      <c r="T199" s="7">
        <f>Tabelle2[[#This Row],[Robotron_Dauer]]*2+Tabelle2[[#This Row],[Schule_Dauer]]*5+Tabelle2[[#This Row],[Kletterarena_Dauer]]+Tabelle2[[#This Row],[Großeltern_Dauer]]</f>
        <v>316</v>
      </c>
    </row>
    <row r="200" spans="1:20" x14ac:dyDescent="0.2">
      <c r="A200" s="1">
        <v>81</v>
      </c>
      <c r="B200" s="2" t="s">
        <v>114</v>
      </c>
      <c r="C200" s="2">
        <v>51.123180499999997</v>
      </c>
      <c r="D200" s="2">
        <v>13.6316793</v>
      </c>
      <c r="E200" s="2" t="s">
        <v>108</v>
      </c>
      <c r="F200" s="2">
        <v>14.3</v>
      </c>
      <c r="G200" s="2">
        <v>31</v>
      </c>
      <c r="H200" s="2">
        <v>29.08</v>
      </c>
      <c r="I200" s="2">
        <v>34</v>
      </c>
      <c r="J200" s="2">
        <v>33.11</v>
      </c>
      <c r="K200" s="2">
        <v>36</v>
      </c>
      <c r="L200" s="2">
        <v>14.36</v>
      </c>
      <c r="M200" s="2">
        <v>30</v>
      </c>
      <c r="N200" s="2">
        <v>44.92</v>
      </c>
      <c r="O200" s="2">
        <v>40</v>
      </c>
      <c r="P200" s="2">
        <v>14.01</v>
      </c>
      <c r="Q200" s="2">
        <v>29</v>
      </c>
      <c r="R200" s="2">
        <f>SUM(F200,H200,J200,L200,N200,P200)</f>
        <v>149.77999999999997</v>
      </c>
      <c r="S200" s="3">
        <f>SUM(G200,I200,K200,M200,O200,Q200)</f>
        <v>200</v>
      </c>
      <c r="T200" s="7">
        <f>Tabelle2[[#This Row],[Robotron_Dauer]]*2+Tabelle2[[#This Row],[Schule_Dauer]]*5+Tabelle2[[#This Row],[Kletterarena_Dauer]]+Tabelle2[[#This Row],[Großeltern_Dauer]]</f>
        <v>318</v>
      </c>
    </row>
    <row r="201" spans="1:20" x14ac:dyDescent="0.2">
      <c r="A201" s="1">
        <v>126</v>
      </c>
      <c r="B201" s="2" t="s">
        <v>159</v>
      </c>
      <c r="C201" s="2">
        <v>51.0857904</v>
      </c>
      <c r="D201" s="2">
        <v>14.072988199999999</v>
      </c>
      <c r="E201" s="2" t="s">
        <v>19</v>
      </c>
      <c r="F201" s="2">
        <v>24.01</v>
      </c>
      <c r="G201" s="2">
        <v>35</v>
      </c>
      <c r="H201" s="2">
        <v>41.74</v>
      </c>
      <c r="I201" s="2">
        <v>39</v>
      </c>
      <c r="J201" s="2">
        <v>35.479999999999997</v>
      </c>
      <c r="K201" s="2">
        <v>36</v>
      </c>
      <c r="L201" s="2">
        <v>44.06</v>
      </c>
      <c r="M201" s="2">
        <v>45</v>
      </c>
      <c r="N201" s="2">
        <v>15.57</v>
      </c>
      <c r="O201" s="2">
        <v>18</v>
      </c>
      <c r="P201" s="2">
        <v>26.5</v>
      </c>
      <c r="Q201" s="2">
        <v>41</v>
      </c>
      <c r="R201" s="2">
        <f>SUM(F201,H201,J201,L201,N201,P201)</f>
        <v>187.35999999999999</v>
      </c>
      <c r="S201" s="3">
        <f>SUM(G201,I201,K201,M201,O201,Q201)</f>
        <v>214</v>
      </c>
      <c r="T201" s="7">
        <f>Tabelle2[[#This Row],[Robotron_Dauer]]*2+Tabelle2[[#This Row],[Schule_Dauer]]*5+Tabelle2[[#This Row],[Kletterarena_Dauer]]+Tabelle2[[#This Row],[Großeltern_Dauer]]</f>
        <v>321</v>
      </c>
    </row>
    <row r="202" spans="1:20" x14ac:dyDescent="0.2">
      <c r="A202" s="1">
        <v>177</v>
      </c>
      <c r="B202" s="2" t="s">
        <v>216</v>
      </c>
      <c r="C202" s="2">
        <v>51.170515000000002</v>
      </c>
      <c r="D202" s="2">
        <v>13.790944100000001</v>
      </c>
      <c r="E202" s="2" t="s">
        <v>217</v>
      </c>
      <c r="F202" s="2">
        <v>21.65</v>
      </c>
      <c r="G202" s="2">
        <v>30</v>
      </c>
      <c r="H202" s="2">
        <v>40</v>
      </c>
      <c r="I202" s="2">
        <v>36</v>
      </c>
      <c r="J202" s="2">
        <v>44.03</v>
      </c>
      <c r="K202" s="2">
        <v>38</v>
      </c>
      <c r="L202" s="2">
        <v>25.1</v>
      </c>
      <c r="M202" s="2">
        <v>32</v>
      </c>
      <c r="N202" s="2">
        <v>30.41</v>
      </c>
      <c r="O202" s="2">
        <v>29</v>
      </c>
      <c r="P202" s="2">
        <v>24.75</v>
      </c>
      <c r="Q202" s="2">
        <v>31</v>
      </c>
      <c r="R202" s="2">
        <f>SUM(F202,H202,J202,L202,N202,P202)</f>
        <v>185.94</v>
      </c>
      <c r="S202" s="3">
        <f>SUM(G202,I202,K202,M202,O202,Q202)</f>
        <v>196</v>
      </c>
      <c r="T202" s="7">
        <f>Tabelle2[[#This Row],[Robotron_Dauer]]*2+Tabelle2[[#This Row],[Schule_Dauer]]*5+Tabelle2[[#This Row],[Kletterarena_Dauer]]+Tabelle2[[#This Row],[Großeltern_Dauer]]</f>
        <v>323</v>
      </c>
    </row>
    <row r="203" spans="1:20" x14ac:dyDescent="0.2">
      <c r="A203" s="1">
        <v>234</v>
      </c>
      <c r="B203" s="2" t="s">
        <v>272</v>
      </c>
      <c r="C203" s="2">
        <v>51.139558800000003</v>
      </c>
      <c r="D203" s="2">
        <v>13.9154813</v>
      </c>
      <c r="E203" s="2" t="s">
        <v>19</v>
      </c>
      <c r="F203" s="2">
        <v>17.09</v>
      </c>
      <c r="G203" s="2">
        <v>26</v>
      </c>
      <c r="H203" s="2">
        <v>44.54</v>
      </c>
      <c r="I203" s="2">
        <v>38</v>
      </c>
      <c r="J203" s="2">
        <v>48.57</v>
      </c>
      <c r="K203" s="2">
        <v>40</v>
      </c>
      <c r="L203" s="2">
        <v>29.64</v>
      </c>
      <c r="M203" s="2">
        <v>34</v>
      </c>
      <c r="N203" s="2">
        <v>14.71</v>
      </c>
      <c r="O203" s="2">
        <v>18</v>
      </c>
      <c r="P203" s="2">
        <v>19.75</v>
      </c>
      <c r="Q203" s="2">
        <v>32</v>
      </c>
      <c r="R203" s="2">
        <f>SUM(F203,H203,J203,L203,N203,P203)</f>
        <v>174.29999999999998</v>
      </c>
      <c r="S203" s="3">
        <f>SUM(G203,I203,K203,M203,O203,Q203)</f>
        <v>188</v>
      </c>
      <c r="T203" s="7">
        <f>Tabelle2[[#This Row],[Robotron_Dauer]]*2+Tabelle2[[#This Row],[Schule_Dauer]]*5+Tabelle2[[#This Row],[Kletterarena_Dauer]]+Tabelle2[[#This Row],[Großeltern_Dauer]]</f>
        <v>328</v>
      </c>
    </row>
    <row r="204" spans="1:20" x14ac:dyDescent="0.2">
      <c r="A204" s="1">
        <v>37</v>
      </c>
      <c r="B204" s="2" t="s">
        <v>63</v>
      </c>
      <c r="C204" s="2">
        <v>51.114142700000002</v>
      </c>
      <c r="D204" s="2">
        <v>13.95687</v>
      </c>
      <c r="E204" s="2" t="s">
        <v>64</v>
      </c>
      <c r="F204" s="2">
        <v>17.77</v>
      </c>
      <c r="G204" s="2">
        <v>27</v>
      </c>
      <c r="H204" s="2">
        <v>55.22</v>
      </c>
      <c r="I204" s="2">
        <v>41</v>
      </c>
      <c r="J204" s="2">
        <v>24.23</v>
      </c>
      <c r="K204" s="2">
        <v>39</v>
      </c>
      <c r="L204" s="2">
        <v>40.31</v>
      </c>
      <c r="M204" s="2">
        <v>37</v>
      </c>
      <c r="N204" s="2">
        <v>12.34</v>
      </c>
      <c r="O204" s="2">
        <v>15</v>
      </c>
      <c r="P204" s="2">
        <v>20.43</v>
      </c>
      <c r="Q204" s="2">
        <v>34</v>
      </c>
      <c r="R204" s="2">
        <f>SUM(F204,H204,J204,L204,N204,P204)</f>
        <v>170.3</v>
      </c>
      <c r="S204" s="3">
        <f>SUM(G204,I204,K204,M204,O204,Q204)</f>
        <v>193</v>
      </c>
      <c r="T204" s="7">
        <f>Tabelle2[[#This Row],[Robotron_Dauer]]*2+Tabelle2[[#This Row],[Schule_Dauer]]*5+Tabelle2[[#This Row],[Kletterarena_Dauer]]+Tabelle2[[#This Row],[Großeltern_Dauer]]</f>
        <v>329</v>
      </c>
    </row>
    <row r="205" spans="1:20" x14ac:dyDescent="0.2">
      <c r="A205" s="1">
        <v>127</v>
      </c>
      <c r="B205" s="2" t="s">
        <v>160</v>
      </c>
      <c r="C205" s="2">
        <v>51.098463500000001</v>
      </c>
      <c r="D205" s="2">
        <v>14.0439878</v>
      </c>
      <c r="E205" s="2" t="s">
        <v>161</v>
      </c>
      <c r="F205" s="2">
        <v>25.1</v>
      </c>
      <c r="G205" s="2">
        <v>36</v>
      </c>
      <c r="H205" s="2">
        <v>41.33</v>
      </c>
      <c r="I205" s="2">
        <v>40</v>
      </c>
      <c r="J205" s="2">
        <v>35.08</v>
      </c>
      <c r="K205" s="2">
        <v>37</v>
      </c>
      <c r="L205" s="2">
        <v>43.66</v>
      </c>
      <c r="M205" s="2">
        <v>44</v>
      </c>
      <c r="N205" s="2">
        <v>15.16</v>
      </c>
      <c r="O205" s="2">
        <v>20</v>
      </c>
      <c r="P205" s="2">
        <v>26.09</v>
      </c>
      <c r="Q205" s="2">
        <v>42</v>
      </c>
      <c r="R205" s="2">
        <f>SUM(F205,H205,J205,L205,N205,P205)</f>
        <v>186.42000000000002</v>
      </c>
      <c r="S205" s="3">
        <f>SUM(G205,I205,K205,M205,O205,Q205)</f>
        <v>219</v>
      </c>
      <c r="T205" s="7">
        <f>Tabelle2[[#This Row],[Robotron_Dauer]]*2+Tabelle2[[#This Row],[Schule_Dauer]]*5+Tabelle2[[#This Row],[Kletterarena_Dauer]]+Tabelle2[[#This Row],[Großeltern_Dauer]]</f>
        <v>329</v>
      </c>
    </row>
    <row r="206" spans="1:20" x14ac:dyDescent="0.2">
      <c r="A206" s="1">
        <v>106</v>
      </c>
      <c r="B206" s="2" t="s">
        <v>142</v>
      </c>
      <c r="C206" s="2">
        <v>50.918526100000001</v>
      </c>
      <c r="D206" s="2">
        <v>14.0732271</v>
      </c>
      <c r="E206" s="2" t="s">
        <v>131</v>
      </c>
      <c r="F206" s="2">
        <v>42.45</v>
      </c>
      <c r="G206" s="2">
        <v>48</v>
      </c>
      <c r="H206" s="2">
        <v>37.5</v>
      </c>
      <c r="I206" s="2">
        <v>36</v>
      </c>
      <c r="J206" s="2">
        <v>31.24</v>
      </c>
      <c r="K206" s="2">
        <v>34</v>
      </c>
      <c r="L206" s="2">
        <v>39.83</v>
      </c>
      <c r="M206" s="2">
        <v>43</v>
      </c>
      <c r="N206" s="2">
        <v>31.27</v>
      </c>
      <c r="O206" s="2">
        <v>45</v>
      </c>
      <c r="P206" s="2">
        <v>40.98</v>
      </c>
      <c r="Q206" s="2">
        <v>45</v>
      </c>
      <c r="R206" s="2">
        <f>SUM(F206,H206,J206,L206,N206,P206)</f>
        <v>223.26999999999998</v>
      </c>
      <c r="S206" s="3">
        <f>SUM(G206,I206,K206,M206,O206,Q206)</f>
        <v>251</v>
      </c>
      <c r="T206" s="7">
        <f>Tabelle2[[#This Row],[Robotron_Dauer]]*2+Tabelle2[[#This Row],[Schule_Dauer]]*5+Tabelle2[[#This Row],[Kletterarena_Dauer]]+Tabelle2[[#This Row],[Großeltern_Dauer]]</f>
        <v>330</v>
      </c>
    </row>
    <row r="207" spans="1:20" x14ac:dyDescent="0.2">
      <c r="A207" s="1">
        <v>29</v>
      </c>
      <c r="B207" s="2" t="s">
        <v>52</v>
      </c>
      <c r="C207" s="2">
        <v>51.131393899999999</v>
      </c>
      <c r="D207" s="2">
        <v>13.840919299999999</v>
      </c>
      <c r="E207" s="2" t="s">
        <v>19</v>
      </c>
      <c r="F207" s="2">
        <v>14.14</v>
      </c>
      <c r="G207" s="2">
        <v>21</v>
      </c>
      <c r="H207" s="2">
        <v>43.55</v>
      </c>
      <c r="I207" s="2">
        <v>39</v>
      </c>
      <c r="J207" s="2">
        <v>23.12</v>
      </c>
      <c r="K207" s="2">
        <v>39</v>
      </c>
      <c r="L207" s="2">
        <v>18.8</v>
      </c>
      <c r="M207" s="2">
        <v>32</v>
      </c>
      <c r="N207" s="2">
        <v>19.72</v>
      </c>
      <c r="O207" s="2">
        <v>26</v>
      </c>
      <c r="P207" s="2">
        <v>16.8</v>
      </c>
      <c r="Q207" s="2">
        <v>28</v>
      </c>
      <c r="R207" s="2">
        <f>SUM(F207,H207,J207,L207,N207,P207)</f>
        <v>136.13</v>
      </c>
      <c r="S207" s="3">
        <f>SUM(G207,I207,K207,M207,O207,Q207)</f>
        <v>185</v>
      </c>
      <c r="T207" s="7">
        <f>Tabelle2[[#This Row],[Robotron_Dauer]]*2+Tabelle2[[#This Row],[Schule_Dauer]]*5+Tabelle2[[#This Row],[Kletterarena_Dauer]]+Tabelle2[[#This Row],[Großeltern_Dauer]]</f>
        <v>331</v>
      </c>
    </row>
    <row r="208" spans="1:20" x14ac:dyDescent="0.2">
      <c r="A208" s="1">
        <v>75</v>
      </c>
      <c r="B208" s="2" t="s">
        <v>107</v>
      </c>
      <c r="C208" s="2">
        <v>51.118489400000001</v>
      </c>
      <c r="D208" s="2">
        <v>13.603764</v>
      </c>
      <c r="E208" s="2" t="s">
        <v>108</v>
      </c>
      <c r="F208" s="2">
        <v>14.89</v>
      </c>
      <c r="G208" s="2">
        <v>31</v>
      </c>
      <c r="H208" s="2">
        <v>29.67</v>
      </c>
      <c r="I208" s="2">
        <v>35</v>
      </c>
      <c r="J208" s="2">
        <v>33.700000000000003</v>
      </c>
      <c r="K208" s="2">
        <v>37</v>
      </c>
      <c r="L208" s="2">
        <v>14.95</v>
      </c>
      <c r="M208" s="2">
        <v>30</v>
      </c>
      <c r="N208" s="2">
        <v>47.9</v>
      </c>
      <c r="O208" s="2">
        <v>46</v>
      </c>
      <c r="P208" s="2">
        <v>14.59</v>
      </c>
      <c r="Q208" s="2">
        <v>30</v>
      </c>
      <c r="R208" s="2">
        <f>SUM(F208,H208,J208,L208,N208,P208)</f>
        <v>155.70000000000002</v>
      </c>
      <c r="S208" s="3">
        <f>SUM(G208,I208,K208,M208,O208,Q208)</f>
        <v>209</v>
      </c>
      <c r="T208" s="7">
        <f>Tabelle2[[#This Row],[Robotron_Dauer]]*2+Tabelle2[[#This Row],[Schule_Dauer]]*5+Tabelle2[[#This Row],[Kletterarena_Dauer]]+Tabelle2[[#This Row],[Großeltern_Dauer]]</f>
        <v>331</v>
      </c>
    </row>
    <row r="209" spans="1:20" x14ac:dyDescent="0.2">
      <c r="A209" s="1">
        <v>280</v>
      </c>
      <c r="B209" s="2" t="s">
        <v>321</v>
      </c>
      <c r="C209" s="2">
        <v>51.128237900000002</v>
      </c>
      <c r="D209" s="2">
        <v>13.954118599999999</v>
      </c>
      <c r="E209" s="2" t="s">
        <v>19</v>
      </c>
      <c r="F209" s="2">
        <v>17.71</v>
      </c>
      <c r="G209" s="2">
        <v>27</v>
      </c>
      <c r="H209" s="2">
        <v>52.59</v>
      </c>
      <c r="I209" s="2">
        <v>40</v>
      </c>
      <c r="J209" s="2">
        <v>25.45</v>
      </c>
      <c r="K209" s="2">
        <v>40</v>
      </c>
      <c r="L209" s="2">
        <v>37.68</v>
      </c>
      <c r="M209" s="2">
        <v>37</v>
      </c>
      <c r="N209" s="2">
        <v>13.56</v>
      </c>
      <c r="O209" s="2">
        <v>16</v>
      </c>
      <c r="P209" s="2">
        <v>20.36</v>
      </c>
      <c r="Q209" s="2">
        <v>34</v>
      </c>
      <c r="R209" s="2">
        <f>SUM(F209,H209,J209,L209,N209,P209)</f>
        <v>167.35000000000002</v>
      </c>
      <c r="S209" s="3">
        <f>SUM(G209,I209,K209,M209,O209,Q209)</f>
        <v>194</v>
      </c>
      <c r="T209" s="7">
        <f>Tabelle2[[#This Row],[Robotron_Dauer]]*2+Tabelle2[[#This Row],[Schule_Dauer]]*5+Tabelle2[[#This Row],[Kletterarena_Dauer]]+Tabelle2[[#This Row],[Großeltern_Dauer]]</f>
        <v>333</v>
      </c>
    </row>
    <row r="210" spans="1:20" x14ac:dyDescent="0.2">
      <c r="A210" s="1">
        <v>235</v>
      </c>
      <c r="B210" s="2" t="s">
        <v>273</v>
      </c>
      <c r="C210" s="2">
        <v>51.115141299999998</v>
      </c>
      <c r="D210" s="2">
        <v>13.917525700000001</v>
      </c>
      <c r="E210" s="2" t="s">
        <v>19</v>
      </c>
      <c r="F210" s="2">
        <v>14.79</v>
      </c>
      <c r="G210" s="2">
        <v>23</v>
      </c>
      <c r="H210" s="2">
        <v>23.73</v>
      </c>
      <c r="I210" s="2">
        <v>41</v>
      </c>
      <c r="J210" s="2">
        <v>23.77</v>
      </c>
      <c r="K210" s="2">
        <v>40</v>
      </c>
      <c r="L210" s="2">
        <v>19.45</v>
      </c>
      <c r="M210" s="2">
        <v>34</v>
      </c>
      <c r="N210" s="2">
        <v>13.98</v>
      </c>
      <c r="O210" s="2">
        <v>18</v>
      </c>
      <c r="P210" s="2">
        <v>17.45</v>
      </c>
      <c r="Q210" s="2">
        <v>29</v>
      </c>
      <c r="R210" s="2">
        <f>SUM(F210,H210,J210,L210,N210,P210)</f>
        <v>113.17</v>
      </c>
      <c r="S210" s="3">
        <f>SUM(G210,I210,K210,M210,O210,Q210)</f>
        <v>185</v>
      </c>
      <c r="T210" s="7">
        <f>Tabelle2[[#This Row],[Robotron_Dauer]]*2+Tabelle2[[#This Row],[Schule_Dauer]]*5+Tabelle2[[#This Row],[Kletterarena_Dauer]]+Tabelle2[[#This Row],[Großeltern_Dauer]]</f>
        <v>334</v>
      </c>
    </row>
    <row r="211" spans="1:20" x14ac:dyDescent="0.2">
      <c r="A211" s="1">
        <v>285</v>
      </c>
      <c r="B211" s="2" t="s">
        <v>326</v>
      </c>
      <c r="C211" s="2">
        <v>51.180549399999997</v>
      </c>
      <c r="D211" s="2">
        <v>14.0040247</v>
      </c>
      <c r="E211" s="2" t="s">
        <v>57</v>
      </c>
      <c r="F211" s="2">
        <v>32.82</v>
      </c>
      <c r="G211" s="2">
        <v>32</v>
      </c>
      <c r="H211" s="2">
        <v>51.17</v>
      </c>
      <c r="I211" s="2">
        <v>39</v>
      </c>
      <c r="J211" s="2">
        <v>55.2</v>
      </c>
      <c r="K211" s="2">
        <v>40</v>
      </c>
      <c r="L211" s="2">
        <v>36.270000000000003</v>
      </c>
      <c r="M211" s="2">
        <v>35</v>
      </c>
      <c r="N211" s="2">
        <v>21.53</v>
      </c>
      <c r="O211" s="2">
        <v>22</v>
      </c>
      <c r="P211" s="2">
        <v>35.92</v>
      </c>
      <c r="Q211" s="2">
        <v>34</v>
      </c>
      <c r="R211" s="2">
        <f>SUM(F211,H211,J211,L211,N211,P211)</f>
        <v>232.91000000000003</v>
      </c>
      <c r="S211" s="3">
        <f>SUM(G211,I211,K211,M211,O211,Q211)</f>
        <v>202</v>
      </c>
      <c r="T211" s="7">
        <f>Tabelle2[[#This Row],[Robotron_Dauer]]*2+Tabelle2[[#This Row],[Schule_Dauer]]*5+Tabelle2[[#This Row],[Kletterarena_Dauer]]+Tabelle2[[#This Row],[Großeltern_Dauer]]</f>
        <v>335</v>
      </c>
    </row>
    <row r="212" spans="1:20" x14ac:dyDescent="0.2">
      <c r="A212" s="1">
        <v>76</v>
      </c>
      <c r="B212" s="2" t="s">
        <v>109</v>
      </c>
      <c r="C212" s="2">
        <v>51.111474100000002</v>
      </c>
      <c r="D212" s="2">
        <v>13.606419799999999</v>
      </c>
      <c r="E212" s="2" t="s">
        <v>108</v>
      </c>
      <c r="F212" s="2">
        <v>14.82</v>
      </c>
      <c r="G212" s="2">
        <v>32</v>
      </c>
      <c r="H212" s="2">
        <v>17.66</v>
      </c>
      <c r="I212" s="2">
        <v>35</v>
      </c>
      <c r="J212" s="2">
        <v>32.9</v>
      </c>
      <c r="K212" s="2">
        <v>38</v>
      </c>
      <c r="L212" s="2">
        <v>14.61</v>
      </c>
      <c r="M212" s="2">
        <v>29</v>
      </c>
      <c r="N212" s="2">
        <v>47.84</v>
      </c>
      <c r="O212" s="2">
        <v>46</v>
      </c>
      <c r="P212" s="2">
        <v>14.75</v>
      </c>
      <c r="Q212" s="2">
        <v>30</v>
      </c>
      <c r="R212" s="2">
        <f>SUM(F212,H212,J212,L212,N212,P212)</f>
        <v>142.57999999999998</v>
      </c>
      <c r="S212" s="3">
        <f>SUM(G212,I212,K212,M212,O212,Q212)</f>
        <v>210</v>
      </c>
      <c r="T212" s="7">
        <f>Tabelle2[[#This Row],[Robotron_Dauer]]*2+Tabelle2[[#This Row],[Schule_Dauer]]*5+Tabelle2[[#This Row],[Kletterarena_Dauer]]+Tabelle2[[#This Row],[Großeltern_Dauer]]</f>
        <v>335</v>
      </c>
    </row>
    <row r="213" spans="1:20" x14ac:dyDescent="0.2">
      <c r="A213" s="1">
        <v>64</v>
      </c>
      <c r="B213" s="2" t="s">
        <v>96</v>
      </c>
      <c r="C213" s="2">
        <v>51.0492329</v>
      </c>
      <c r="D213" s="2">
        <v>14.0830003</v>
      </c>
      <c r="E213" s="2" t="s">
        <v>19</v>
      </c>
      <c r="F213" s="2">
        <v>25.1</v>
      </c>
      <c r="G213" s="2">
        <v>39</v>
      </c>
      <c r="H213" s="2">
        <v>41.78</v>
      </c>
      <c r="I213" s="2">
        <v>40</v>
      </c>
      <c r="J213" s="2">
        <v>35.520000000000003</v>
      </c>
      <c r="K213" s="2">
        <v>38</v>
      </c>
      <c r="L213" s="2">
        <v>44.1</v>
      </c>
      <c r="M213" s="2">
        <v>47</v>
      </c>
      <c r="N213" s="2">
        <v>16.649999999999999</v>
      </c>
      <c r="O213" s="2">
        <v>22</v>
      </c>
      <c r="P213" s="2">
        <v>27.58</v>
      </c>
      <c r="Q213" s="2">
        <v>44</v>
      </c>
      <c r="R213" s="2">
        <f>SUM(F213,H213,J213,L213,N213,P213)</f>
        <v>190.73000000000002</v>
      </c>
      <c r="S213" s="3">
        <f>SUM(G213,I213,K213,M213,O213,Q213)</f>
        <v>230</v>
      </c>
      <c r="T213" s="7">
        <f>Tabelle2[[#This Row],[Robotron_Dauer]]*2+Tabelle2[[#This Row],[Schule_Dauer]]*5+Tabelle2[[#This Row],[Kletterarena_Dauer]]+Tabelle2[[#This Row],[Großeltern_Dauer]]</f>
        <v>339</v>
      </c>
    </row>
    <row r="214" spans="1:20" x14ac:dyDescent="0.2">
      <c r="A214" s="1">
        <v>158</v>
      </c>
      <c r="B214" s="2" t="s">
        <v>196</v>
      </c>
      <c r="C214" s="2">
        <v>51.007899799999997</v>
      </c>
      <c r="D214" s="2">
        <v>14.0900772</v>
      </c>
      <c r="E214" s="2" t="s">
        <v>96</v>
      </c>
      <c r="F214" s="2">
        <v>29.6</v>
      </c>
      <c r="G214" s="2">
        <v>44</v>
      </c>
      <c r="H214" s="2">
        <v>38.85</v>
      </c>
      <c r="I214" s="2">
        <v>40</v>
      </c>
      <c r="J214" s="2">
        <v>32.590000000000003</v>
      </c>
      <c r="K214" s="2">
        <v>37</v>
      </c>
      <c r="L214" s="2">
        <v>41.18</v>
      </c>
      <c r="M214" s="2">
        <v>46</v>
      </c>
      <c r="N214" s="2">
        <v>21.15</v>
      </c>
      <c r="O214" s="2">
        <v>28</v>
      </c>
      <c r="P214" s="2">
        <v>42.33</v>
      </c>
      <c r="Q214" s="2">
        <v>48</v>
      </c>
      <c r="R214" s="2">
        <f>SUM(F214,H214,J214,L214,N214,P214)</f>
        <v>205.7</v>
      </c>
      <c r="S214" s="3">
        <f>SUM(G214,I214,K214,M214,O214,Q214)</f>
        <v>243</v>
      </c>
      <c r="T214" s="7">
        <f>Tabelle2[[#This Row],[Robotron_Dauer]]*2+Tabelle2[[#This Row],[Schule_Dauer]]*5+Tabelle2[[#This Row],[Kletterarena_Dauer]]+Tabelle2[[#This Row],[Großeltern_Dauer]]</f>
        <v>339</v>
      </c>
    </row>
    <row r="215" spans="1:20" x14ac:dyDescent="0.2">
      <c r="A215" s="1">
        <v>35</v>
      </c>
      <c r="B215" s="2" t="s">
        <v>60</v>
      </c>
      <c r="C215" s="2">
        <v>51.145497200000001</v>
      </c>
      <c r="D215" s="2">
        <v>13.8654659</v>
      </c>
      <c r="E215" s="2" t="s">
        <v>19</v>
      </c>
      <c r="F215" s="2">
        <v>17.170000000000002</v>
      </c>
      <c r="G215" s="2">
        <v>26</v>
      </c>
      <c r="H215" s="2">
        <v>41.64</v>
      </c>
      <c r="I215" s="2">
        <v>39</v>
      </c>
      <c r="J215" s="2">
        <v>45.67</v>
      </c>
      <c r="K215" s="2">
        <v>41</v>
      </c>
      <c r="L215" s="2">
        <v>26.74</v>
      </c>
      <c r="M215" s="2">
        <v>35</v>
      </c>
      <c r="N215" s="2">
        <v>19.010000000000002</v>
      </c>
      <c r="O215" s="2">
        <v>25</v>
      </c>
      <c r="P215" s="2">
        <v>19.82</v>
      </c>
      <c r="Q215" s="2">
        <v>32</v>
      </c>
      <c r="R215" s="2">
        <f>SUM(F215,H215,J215,L215,N215,P215)</f>
        <v>170.04999999999998</v>
      </c>
      <c r="S215" s="3">
        <f>SUM(G215,I215,K215,M215,O215,Q215)</f>
        <v>198</v>
      </c>
      <c r="T215" s="7">
        <f>Tabelle2[[#This Row],[Robotron_Dauer]]*2+Tabelle2[[#This Row],[Schule_Dauer]]*5+Tabelle2[[#This Row],[Kletterarena_Dauer]]+Tabelle2[[#This Row],[Großeltern_Dauer]]</f>
        <v>343</v>
      </c>
    </row>
    <row r="216" spans="1:20" x14ac:dyDescent="0.2">
      <c r="A216" s="1">
        <v>34</v>
      </c>
      <c r="B216" s="2" t="s">
        <v>58</v>
      </c>
      <c r="C216" s="2">
        <v>51.128875899999997</v>
      </c>
      <c r="D216" s="2">
        <v>13.975757099999999</v>
      </c>
      <c r="E216" s="2" t="s">
        <v>59</v>
      </c>
      <c r="F216" s="2">
        <v>19.73</v>
      </c>
      <c r="G216" s="2">
        <v>30</v>
      </c>
      <c r="H216" s="2">
        <v>52.66</v>
      </c>
      <c r="I216" s="2">
        <v>41</v>
      </c>
      <c r="J216" s="2">
        <v>27.47</v>
      </c>
      <c r="K216" s="2">
        <v>42</v>
      </c>
      <c r="L216" s="2">
        <v>37.76</v>
      </c>
      <c r="M216" s="2">
        <v>37</v>
      </c>
      <c r="N216" s="2">
        <v>15.57</v>
      </c>
      <c r="O216" s="2">
        <v>18</v>
      </c>
      <c r="P216" s="2">
        <v>22.38</v>
      </c>
      <c r="Q216" s="2">
        <v>36</v>
      </c>
      <c r="R216" s="2">
        <f>SUM(F216,H216,J216,L216,N216,P216)</f>
        <v>175.57</v>
      </c>
      <c r="S216" s="3">
        <f>SUM(G216,I216,K216,M216,O216,Q216)</f>
        <v>204</v>
      </c>
      <c r="T216" s="7">
        <f>Tabelle2[[#This Row],[Robotron_Dauer]]*2+Tabelle2[[#This Row],[Schule_Dauer]]*5+Tabelle2[[#This Row],[Kletterarena_Dauer]]+Tabelle2[[#This Row],[Großeltern_Dauer]]</f>
        <v>347</v>
      </c>
    </row>
    <row r="217" spans="1:20" x14ac:dyDescent="0.2">
      <c r="A217" s="1">
        <v>279</v>
      </c>
      <c r="B217" s="2" t="s">
        <v>320</v>
      </c>
      <c r="C217" s="2">
        <v>51.127899900000003</v>
      </c>
      <c r="D217" s="2">
        <v>13.9072405</v>
      </c>
      <c r="E217" s="2" t="s">
        <v>19</v>
      </c>
      <c r="F217" s="2">
        <v>16.2</v>
      </c>
      <c r="G217" s="2">
        <v>24</v>
      </c>
      <c r="H217" s="2">
        <v>46.79</v>
      </c>
      <c r="I217" s="2">
        <v>42</v>
      </c>
      <c r="J217" s="2">
        <v>25.18</v>
      </c>
      <c r="K217" s="2">
        <v>42</v>
      </c>
      <c r="L217" s="2">
        <v>20.86</v>
      </c>
      <c r="M217" s="2">
        <v>35</v>
      </c>
      <c r="N217" s="2">
        <v>15.13</v>
      </c>
      <c r="O217" s="2">
        <v>19</v>
      </c>
      <c r="P217" s="2">
        <v>18.86</v>
      </c>
      <c r="Q217" s="2">
        <v>31</v>
      </c>
      <c r="R217" s="2">
        <f>SUM(F217,H217,J217,L217,N217,P217)</f>
        <v>143.01999999999998</v>
      </c>
      <c r="S217" s="3">
        <f>SUM(G217,I217,K217,M217,O217,Q217)</f>
        <v>193</v>
      </c>
      <c r="T217" s="7">
        <f>Tabelle2[[#This Row],[Robotron_Dauer]]*2+Tabelle2[[#This Row],[Schule_Dauer]]*5+Tabelle2[[#This Row],[Kletterarena_Dauer]]+Tabelle2[[#This Row],[Großeltern_Dauer]]</f>
        <v>348</v>
      </c>
    </row>
    <row r="218" spans="1:20" x14ac:dyDescent="0.2">
      <c r="A218" s="1">
        <v>33</v>
      </c>
      <c r="B218" s="2" t="s">
        <v>57</v>
      </c>
      <c r="C218" s="2">
        <v>51.182577100000003</v>
      </c>
      <c r="D218" s="2">
        <v>14.0139733</v>
      </c>
      <c r="E218" s="2" t="s">
        <v>19</v>
      </c>
      <c r="F218" s="2">
        <v>33.31</v>
      </c>
      <c r="G218" s="2">
        <v>34</v>
      </c>
      <c r="H218" s="2">
        <v>51.66</v>
      </c>
      <c r="I218" s="2">
        <v>40</v>
      </c>
      <c r="J218" s="2">
        <v>55.69</v>
      </c>
      <c r="K218" s="2">
        <v>42</v>
      </c>
      <c r="L218" s="2">
        <v>36.76</v>
      </c>
      <c r="M218" s="2">
        <v>36</v>
      </c>
      <c r="N218" s="2">
        <v>22.02</v>
      </c>
      <c r="O218" s="2">
        <v>24</v>
      </c>
      <c r="P218" s="2">
        <v>36.409999999999997</v>
      </c>
      <c r="Q218" s="2">
        <v>36</v>
      </c>
      <c r="R218" s="2">
        <f>SUM(F218,H218,J218,L218,N218,P218)</f>
        <v>235.85</v>
      </c>
      <c r="S218" s="3">
        <f>SUM(G218,I218,K218,M218,O218,Q218)</f>
        <v>212</v>
      </c>
      <c r="T218" s="7">
        <f>Tabelle2[[#This Row],[Robotron_Dauer]]*2+Tabelle2[[#This Row],[Schule_Dauer]]*5+Tabelle2[[#This Row],[Kletterarena_Dauer]]+Tabelle2[[#This Row],[Großeltern_Dauer]]</f>
        <v>350</v>
      </c>
    </row>
    <row r="219" spans="1:20" x14ac:dyDescent="0.2">
      <c r="A219" s="1">
        <v>237</v>
      </c>
      <c r="B219" s="2" t="s">
        <v>275</v>
      </c>
      <c r="C219" s="2">
        <v>51.068336199999997</v>
      </c>
      <c r="D219" s="2">
        <v>14.1128062</v>
      </c>
      <c r="E219" s="2" t="s">
        <v>276</v>
      </c>
      <c r="F219" s="2">
        <v>27.59</v>
      </c>
      <c r="G219" s="2">
        <v>40</v>
      </c>
      <c r="H219" s="2">
        <v>44.27</v>
      </c>
      <c r="I219" s="2">
        <v>42</v>
      </c>
      <c r="J219" s="2">
        <v>38.020000000000003</v>
      </c>
      <c r="K219" s="2">
        <v>39</v>
      </c>
      <c r="L219" s="2">
        <v>46.6</v>
      </c>
      <c r="M219" s="2">
        <v>48</v>
      </c>
      <c r="N219" s="2">
        <v>19.149999999999999</v>
      </c>
      <c r="O219" s="2">
        <v>23</v>
      </c>
      <c r="P219" s="2">
        <v>30.07</v>
      </c>
      <c r="Q219" s="2">
        <v>46</v>
      </c>
      <c r="R219" s="2">
        <f>SUM(F219,H219,J219,L219,N219,P219)</f>
        <v>205.7</v>
      </c>
      <c r="S219" s="3">
        <f>SUM(G219,I219,K219,M219,O219,Q219)</f>
        <v>238</v>
      </c>
      <c r="T219" s="7">
        <f>Tabelle2[[#This Row],[Robotron_Dauer]]*2+Tabelle2[[#This Row],[Schule_Dauer]]*5+Tabelle2[[#This Row],[Kletterarena_Dauer]]+Tabelle2[[#This Row],[Großeltern_Dauer]]</f>
        <v>350</v>
      </c>
    </row>
    <row r="220" spans="1:20" x14ac:dyDescent="0.2">
      <c r="A220" s="1">
        <v>290</v>
      </c>
      <c r="B220" s="2" t="s">
        <v>331</v>
      </c>
      <c r="C220" s="2">
        <v>51.164726199999997</v>
      </c>
      <c r="D220" s="2">
        <v>14.062427899999999</v>
      </c>
      <c r="E220" s="2" t="s">
        <v>19</v>
      </c>
      <c r="F220" s="2">
        <v>36.21</v>
      </c>
      <c r="G220" s="2">
        <v>34</v>
      </c>
      <c r="H220" s="2">
        <v>54.56</v>
      </c>
      <c r="I220" s="2">
        <v>40</v>
      </c>
      <c r="J220" s="2">
        <v>58.59</v>
      </c>
      <c r="K220" s="2">
        <v>42</v>
      </c>
      <c r="L220" s="2">
        <v>39.659999999999997</v>
      </c>
      <c r="M220" s="2">
        <v>36</v>
      </c>
      <c r="N220" s="2">
        <v>25.6</v>
      </c>
      <c r="O220" s="2">
        <v>25</v>
      </c>
      <c r="P220" s="2">
        <v>39.31</v>
      </c>
      <c r="Q220" s="2">
        <v>35</v>
      </c>
      <c r="R220" s="2">
        <f>SUM(F220,H220,J220,L220,N220,P220)</f>
        <v>253.93</v>
      </c>
      <c r="S220" s="3">
        <f>SUM(G220,I220,K220,M220,O220,Q220)</f>
        <v>212</v>
      </c>
      <c r="T220" s="7">
        <f>Tabelle2[[#This Row],[Robotron_Dauer]]*2+Tabelle2[[#This Row],[Schule_Dauer]]*5+Tabelle2[[#This Row],[Kletterarena_Dauer]]+Tabelle2[[#This Row],[Großeltern_Dauer]]</f>
        <v>351</v>
      </c>
    </row>
    <row r="221" spans="1:20" x14ac:dyDescent="0.2">
      <c r="A221" s="1">
        <v>282</v>
      </c>
      <c r="B221" s="2" t="s">
        <v>323</v>
      </c>
      <c r="C221" s="2">
        <v>51.156138900000002</v>
      </c>
      <c r="D221" s="2">
        <v>13.475316299999999</v>
      </c>
      <c r="E221" s="2" t="s">
        <v>19</v>
      </c>
      <c r="F221" s="2">
        <v>31.54</v>
      </c>
      <c r="G221" s="2">
        <v>42</v>
      </c>
      <c r="H221" s="2">
        <v>33.119999999999997</v>
      </c>
      <c r="I221" s="2">
        <v>36</v>
      </c>
      <c r="J221" s="2">
        <v>37.14</v>
      </c>
      <c r="K221" s="2">
        <v>37</v>
      </c>
      <c r="L221" s="2">
        <v>29.19</v>
      </c>
      <c r="M221" s="2">
        <v>39</v>
      </c>
      <c r="N221" s="2">
        <v>66.06</v>
      </c>
      <c r="O221" s="2">
        <v>55</v>
      </c>
      <c r="P221" s="2">
        <v>31.13</v>
      </c>
      <c r="Q221" s="2">
        <v>39</v>
      </c>
      <c r="R221" s="2">
        <f>SUM(F221,H221,J221,L221,N221,P221)</f>
        <v>228.18</v>
      </c>
      <c r="S221" s="3">
        <f>SUM(G221,I221,K221,M221,O221,Q221)</f>
        <v>248</v>
      </c>
      <c r="T221" s="7">
        <f>Tabelle2[[#This Row],[Robotron_Dauer]]*2+Tabelle2[[#This Row],[Schule_Dauer]]*5+Tabelle2[[#This Row],[Kletterarena_Dauer]]+Tabelle2[[#This Row],[Großeltern_Dauer]]</f>
        <v>351</v>
      </c>
    </row>
    <row r="222" spans="1:20" x14ac:dyDescent="0.2">
      <c r="A222" s="1">
        <v>238</v>
      </c>
      <c r="B222" s="2" t="s">
        <v>232</v>
      </c>
      <c r="C222" s="2">
        <v>51.087305000000001</v>
      </c>
      <c r="D222" s="2">
        <v>14.1048714</v>
      </c>
      <c r="E222" s="2" t="s">
        <v>277</v>
      </c>
      <c r="F222" s="2">
        <v>26.95</v>
      </c>
      <c r="G222" s="2">
        <v>39</v>
      </c>
      <c r="H222" s="2">
        <v>44.67</v>
      </c>
      <c r="I222" s="2">
        <v>42</v>
      </c>
      <c r="J222" s="2">
        <v>38.409999999999997</v>
      </c>
      <c r="K222" s="2">
        <v>40</v>
      </c>
      <c r="L222" s="2">
        <v>47</v>
      </c>
      <c r="M222" s="2">
        <v>49</v>
      </c>
      <c r="N222" s="2">
        <v>18.5</v>
      </c>
      <c r="O222" s="2">
        <v>22</v>
      </c>
      <c r="P222" s="2">
        <v>29.43</v>
      </c>
      <c r="Q222" s="2">
        <v>44</v>
      </c>
      <c r="R222" s="2">
        <f>SUM(F222,H222,J222,L222,N222,P222)</f>
        <v>204.96</v>
      </c>
      <c r="S222" s="3">
        <f>SUM(G222,I222,K222,M222,O222,Q222)</f>
        <v>236</v>
      </c>
      <c r="T222" s="7">
        <f>Tabelle2[[#This Row],[Robotron_Dauer]]*2+Tabelle2[[#This Row],[Schule_Dauer]]*5+Tabelle2[[#This Row],[Kletterarena_Dauer]]+Tabelle2[[#This Row],[Großeltern_Dauer]]</f>
        <v>355</v>
      </c>
    </row>
    <row r="223" spans="1:20" x14ac:dyDescent="0.2">
      <c r="A223" s="1">
        <v>220</v>
      </c>
      <c r="B223" s="2" t="s">
        <v>258</v>
      </c>
      <c r="C223" s="2">
        <v>51.149032599999998</v>
      </c>
      <c r="D223" s="2">
        <v>13.480960400000001</v>
      </c>
      <c r="E223" s="2" t="s">
        <v>19</v>
      </c>
      <c r="F223" s="2">
        <v>31.2</v>
      </c>
      <c r="G223" s="2">
        <v>42</v>
      </c>
      <c r="H223" s="2">
        <v>32.78</v>
      </c>
      <c r="I223" s="2">
        <v>36</v>
      </c>
      <c r="J223" s="2">
        <v>36.799999999999997</v>
      </c>
      <c r="K223" s="2">
        <v>38</v>
      </c>
      <c r="L223" s="2">
        <v>28.85</v>
      </c>
      <c r="M223" s="2">
        <v>39</v>
      </c>
      <c r="N223" s="2">
        <v>65.72</v>
      </c>
      <c r="O223" s="2">
        <v>55</v>
      </c>
      <c r="P223" s="2">
        <v>30.79</v>
      </c>
      <c r="Q223" s="2">
        <v>40</v>
      </c>
      <c r="R223" s="2">
        <f>SUM(F223,H223,J223,L223,N223,P223)</f>
        <v>226.14</v>
      </c>
      <c r="S223" s="3">
        <f>SUM(G223,I223,K223,M223,O223,Q223)</f>
        <v>250</v>
      </c>
      <c r="T223" s="7">
        <f>Tabelle2[[#This Row],[Robotron_Dauer]]*2+Tabelle2[[#This Row],[Schule_Dauer]]*5+Tabelle2[[#This Row],[Kletterarena_Dauer]]+Tabelle2[[#This Row],[Großeltern_Dauer]]</f>
        <v>356</v>
      </c>
    </row>
    <row r="224" spans="1:20" x14ac:dyDescent="0.2">
      <c r="A224" s="1">
        <v>226</v>
      </c>
      <c r="B224" s="2" t="s">
        <v>264</v>
      </c>
      <c r="C224" s="2">
        <v>51.1475048</v>
      </c>
      <c r="D224" s="2">
        <v>13.4681041</v>
      </c>
      <c r="E224" s="2" t="s">
        <v>19</v>
      </c>
      <c r="F224" s="2">
        <v>30.72</v>
      </c>
      <c r="G224" s="2">
        <v>42</v>
      </c>
      <c r="H224" s="2">
        <v>32.299999999999997</v>
      </c>
      <c r="I224" s="2">
        <v>36</v>
      </c>
      <c r="J224" s="2">
        <v>36.32</v>
      </c>
      <c r="K224" s="2">
        <v>38</v>
      </c>
      <c r="L224" s="2">
        <v>28.37</v>
      </c>
      <c r="M224" s="2">
        <v>39</v>
      </c>
      <c r="N224" s="2">
        <v>65.239999999999995</v>
      </c>
      <c r="O224" s="2">
        <v>55</v>
      </c>
      <c r="P224" s="2">
        <v>30.31</v>
      </c>
      <c r="Q224" s="2">
        <v>40</v>
      </c>
      <c r="R224" s="2">
        <f>SUM(F224,H224,J224,L224,N224,P224)</f>
        <v>223.26</v>
      </c>
      <c r="S224" s="3">
        <f>SUM(G224,I224,K224,M224,O224,Q224)</f>
        <v>250</v>
      </c>
      <c r="T224" s="7">
        <f>Tabelle2[[#This Row],[Robotron_Dauer]]*2+Tabelle2[[#This Row],[Schule_Dauer]]*5+Tabelle2[[#This Row],[Kletterarena_Dauer]]+Tabelle2[[#This Row],[Großeltern_Dauer]]</f>
        <v>356</v>
      </c>
    </row>
    <row r="225" spans="1:20" x14ac:dyDescent="0.2">
      <c r="A225" s="1">
        <v>269</v>
      </c>
      <c r="B225" s="2" t="s">
        <v>310</v>
      </c>
      <c r="C225" s="2">
        <v>51.118974299999998</v>
      </c>
      <c r="D225" s="2">
        <v>13.572570000000001</v>
      </c>
      <c r="E225" s="2" t="s">
        <v>19</v>
      </c>
      <c r="F225" s="2">
        <v>18.170000000000002</v>
      </c>
      <c r="G225" s="2">
        <v>36</v>
      </c>
      <c r="H225" s="2">
        <v>18.79</v>
      </c>
      <c r="I225" s="2">
        <v>37</v>
      </c>
      <c r="J225" s="2">
        <v>33.57</v>
      </c>
      <c r="K225" s="2">
        <v>40</v>
      </c>
      <c r="L225" s="2">
        <v>15.74</v>
      </c>
      <c r="M225" s="2">
        <v>31</v>
      </c>
      <c r="N225" s="2">
        <v>55.69</v>
      </c>
      <c r="O225" s="2">
        <v>52</v>
      </c>
      <c r="P225" s="2">
        <v>15.88</v>
      </c>
      <c r="Q225" s="2">
        <v>32</v>
      </c>
      <c r="R225" s="2">
        <f>SUM(F225,H225,J225,L225,N225,P225)</f>
        <v>157.83999999999997</v>
      </c>
      <c r="S225" s="3">
        <f>SUM(G225,I225,K225,M225,O225,Q225)</f>
        <v>228</v>
      </c>
      <c r="T225" s="7">
        <f>Tabelle2[[#This Row],[Robotron_Dauer]]*2+Tabelle2[[#This Row],[Schule_Dauer]]*5+Tabelle2[[#This Row],[Kletterarena_Dauer]]+Tabelle2[[#This Row],[Großeltern_Dauer]]</f>
        <v>357</v>
      </c>
    </row>
    <row r="226" spans="1:20" x14ac:dyDescent="0.2">
      <c r="A226" s="1">
        <v>101</v>
      </c>
      <c r="B226" s="2" t="s">
        <v>59</v>
      </c>
      <c r="C226" s="2">
        <v>51.145684799999998</v>
      </c>
      <c r="D226" s="2">
        <v>14.019910299999999</v>
      </c>
      <c r="E226" s="2" t="s">
        <v>19</v>
      </c>
      <c r="F226" s="2">
        <v>22.86</v>
      </c>
      <c r="G226" s="2">
        <v>35</v>
      </c>
      <c r="H226" s="2">
        <v>52.97</v>
      </c>
      <c r="I226" s="2">
        <v>42</v>
      </c>
      <c r="J226" s="2">
        <v>40.83</v>
      </c>
      <c r="K226" s="2">
        <v>43</v>
      </c>
      <c r="L226" s="2">
        <v>38.06</v>
      </c>
      <c r="M226" s="2">
        <v>38</v>
      </c>
      <c r="N226" s="2">
        <v>18.71</v>
      </c>
      <c r="O226" s="2">
        <v>23</v>
      </c>
      <c r="P226" s="2">
        <v>37.71</v>
      </c>
      <c r="Q226" s="2">
        <v>37</v>
      </c>
      <c r="R226" s="2">
        <f>SUM(F226,H226,J226,L226,N226,P226)</f>
        <v>211.14000000000001</v>
      </c>
      <c r="S226" s="3">
        <f>SUM(G226,I226,K226,M226,O226,Q226)</f>
        <v>218</v>
      </c>
      <c r="T226" s="7">
        <f>Tabelle2[[#This Row],[Robotron_Dauer]]*2+Tabelle2[[#This Row],[Schule_Dauer]]*5+Tabelle2[[#This Row],[Kletterarena_Dauer]]+Tabelle2[[#This Row],[Großeltern_Dauer]]</f>
        <v>360</v>
      </c>
    </row>
    <row r="227" spans="1:20" x14ac:dyDescent="0.2">
      <c r="A227" s="1">
        <v>128</v>
      </c>
      <c r="B227" s="2" t="s">
        <v>162</v>
      </c>
      <c r="C227" s="2">
        <v>51.147392600000003</v>
      </c>
      <c r="D227" s="2">
        <v>14.060793</v>
      </c>
      <c r="E227" s="2" t="s">
        <v>163</v>
      </c>
      <c r="F227" s="2">
        <v>37.200000000000003</v>
      </c>
      <c r="G227" s="2">
        <v>35</v>
      </c>
      <c r="H227" s="2">
        <v>55.55</v>
      </c>
      <c r="I227" s="2">
        <v>41</v>
      </c>
      <c r="J227" s="2">
        <v>59.58</v>
      </c>
      <c r="K227" s="2">
        <v>43</v>
      </c>
      <c r="L227" s="2">
        <v>40.64</v>
      </c>
      <c r="M227" s="2">
        <v>37</v>
      </c>
      <c r="N227" s="2">
        <v>26.58</v>
      </c>
      <c r="O227" s="2">
        <v>26</v>
      </c>
      <c r="P227" s="2">
        <v>40.29</v>
      </c>
      <c r="Q227" s="2">
        <v>37</v>
      </c>
      <c r="R227" s="2">
        <f>SUM(F227,H227,J227,L227,N227,P227)</f>
        <v>259.83999999999997</v>
      </c>
      <c r="S227" s="3">
        <f>SUM(G227,I227,K227,M227,O227,Q227)</f>
        <v>219</v>
      </c>
      <c r="T227" s="7">
        <f>Tabelle2[[#This Row],[Robotron_Dauer]]*2+Tabelle2[[#This Row],[Schule_Dauer]]*5+Tabelle2[[#This Row],[Kletterarena_Dauer]]+Tabelle2[[#This Row],[Großeltern_Dauer]]</f>
        <v>360</v>
      </c>
    </row>
    <row r="228" spans="1:20" x14ac:dyDescent="0.2">
      <c r="A228" s="1">
        <v>257</v>
      </c>
      <c r="B228" s="2" t="s">
        <v>298</v>
      </c>
      <c r="C228" s="2">
        <v>50.949678499999997</v>
      </c>
      <c r="D228" s="2">
        <v>14.107154100000001</v>
      </c>
      <c r="E228" s="2" t="s">
        <v>19</v>
      </c>
      <c r="F228" s="2">
        <v>32.6</v>
      </c>
      <c r="G228" s="2">
        <v>53</v>
      </c>
      <c r="H228" s="2">
        <v>40.79</v>
      </c>
      <c r="I228" s="2">
        <v>42</v>
      </c>
      <c r="J228" s="2">
        <v>34.53</v>
      </c>
      <c r="K228" s="2">
        <v>39</v>
      </c>
      <c r="L228" s="2">
        <v>43.12</v>
      </c>
      <c r="M228" s="2">
        <v>49</v>
      </c>
      <c r="N228" s="2">
        <v>23.61</v>
      </c>
      <c r="O228" s="2">
        <v>37</v>
      </c>
      <c r="P228" s="2">
        <v>44.27</v>
      </c>
      <c r="Q228" s="2">
        <v>51</v>
      </c>
      <c r="R228" s="2">
        <f>SUM(F228,H228,J228,L228,N228,P228)</f>
        <v>218.92</v>
      </c>
      <c r="S228" s="3">
        <f>SUM(G228,I228,K228,M228,O228,Q228)</f>
        <v>271</v>
      </c>
      <c r="T228" s="7">
        <f>Tabelle2[[#This Row],[Robotron_Dauer]]*2+Tabelle2[[#This Row],[Schule_Dauer]]*5+Tabelle2[[#This Row],[Kletterarena_Dauer]]+Tabelle2[[#This Row],[Großeltern_Dauer]]</f>
        <v>365</v>
      </c>
    </row>
    <row r="229" spans="1:20" x14ac:dyDescent="0.2">
      <c r="A229" s="1">
        <v>87</v>
      </c>
      <c r="B229" s="2" t="s">
        <v>120</v>
      </c>
      <c r="C229" s="2">
        <v>51.194411500000001</v>
      </c>
      <c r="D229" s="2">
        <v>13.969107299999999</v>
      </c>
      <c r="E229" s="2" t="s">
        <v>121</v>
      </c>
      <c r="F229" s="2">
        <v>35.979999999999997</v>
      </c>
      <c r="G229" s="2">
        <v>36</v>
      </c>
      <c r="H229" s="2">
        <v>54.34</v>
      </c>
      <c r="I229" s="2">
        <v>42</v>
      </c>
      <c r="J229" s="2">
        <v>58.36</v>
      </c>
      <c r="K229" s="2">
        <v>44</v>
      </c>
      <c r="L229" s="2">
        <v>39.43</v>
      </c>
      <c r="M229" s="2">
        <v>38</v>
      </c>
      <c r="N229" s="2">
        <v>24.69</v>
      </c>
      <c r="O229" s="2">
        <v>25</v>
      </c>
      <c r="P229" s="2">
        <v>39.08</v>
      </c>
      <c r="Q229" s="2">
        <v>37</v>
      </c>
      <c r="R229" s="2">
        <f>SUM(F229,H229,J229,L229,N229,P229)</f>
        <v>251.88</v>
      </c>
      <c r="S229" s="3">
        <f>SUM(G229,I229,K229,M229,O229,Q229)</f>
        <v>222</v>
      </c>
      <c r="T229" s="7">
        <f>Tabelle2[[#This Row],[Robotron_Dauer]]*2+Tabelle2[[#This Row],[Schule_Dauer]]*5+Tabelle2[[#This Row],[Kletterarena_Dauer]]+Tabelle2[[#This Row],[Großeltern_Dauer]]</f>
        <v>367</v>
      </c>
    </row>
    <row r="230" spans="1:20" x14ac:dyDescent="0.2">
      <c r="A230" s="1">
        <v>117</v>
      </c>
      <c r="B230" s="2" t="s">
        <v>125</v>
      </c>
      <c r="C230" s="2">
        <v>51.126730500000001</v>
      </c>
      <c r="D230" s="2">
        <v>13.5783983</v>
      </c>
      <c r="E230" s="2" t="s">
        <v>19</v>
      </c>
      <c r="F230" s="2">
        <v>16.97</v>
      </c>
      <c r="G230" s="2">
        <v>36</v>
      </c>
      <c r="H230" s="2">
        <v>31.75</v>
      </c>
      <c r="I230" s="2">
        <v>40</v>
      </c>
      <c r="J230" s="2">
        <v>35.78</v>
      </c>
      <c r="K230" s="2">
        <v>41</v>
      </c>
      <c r="L230" s="2">
        <v>17.010000000000002</v>
      </c>
      <c r="M230" s="2">
        <v>34</v>
      </c>
      <c r="N230" s="2">
        <v>51.19</v>
      </c>
      <c r="O230" s="2">
        <v>49</v>
      </c>
      <c r="P230" s="2">
        <v>16.68</v>
      </c>
      <c r="Q230" s="2">
        <v>34</v>
      </c>
      <c r="R230" s="2">
        <f>SUM(F230,H230,J230,L230,N230,P230)</f>
        <v>169.38</v>
      </c>
      <c r="S230" s="3">
        <f>SUM(G230,I230,K230,M230,O230,Q230)</f>
        <v>234</v>
      </c>
      <c r="T230" s="7">
        <f>Tabelle2[[#This Row],[Robotron_Dauer]]*2+Tabelle2[[#This Row],[Schule_Dauer]]*5+Tabelle2[[#This Row],[Kletterarena_Dauer]]+Tabelle2[[#This Row],[Großeltern_Dauer]]</f>
        <v>368</v>
      </c>
    </row>
    <row r="231" spans="1:20" x14ac:dyDescent="0.2">
      <c r="A231" s="1">
        <v>183</v>
      </c>
      <c r="B231" s="2" t="s">
        <v>223</v>
      </c>
      <c r="C231" s="2">
        <v>50.939775500000003</v>
      </c>
      <c r="D231" s="2">
        <v>14.073065</v>
      </c>
      <c r="E231" s="2" t="s">
        <v>19</v>
      </c>
      <c r="F231" s="2">
        <v>43</v>
      </c>
      <c r="G231" s="2">
        <v>52</v>
      </c>
      <c r="H231" s="2">
        <v>38.049999999999997</v>
      </c>
      <c r="I231" s="2">
        <v>41</v>
      </c>
      <c r="J231" s="2">
        <v>31.79</v>
      </c>
      <c r="K231" s="2">
        <v>38</v>
      </c>
      <c r="L231" s="2">
        <v>40.380000000000003</v>
      </c>
      <c r="M231" s="2">
        <v>47</v>
      </c>
      <c r="N231" s="2">
        <v>30.32</v>
      </c>
      <c r="O231" s="2">
        <v>49</v>
      </c>
      <c r="P231" s="2">
        <v>41.53</v>
      </c>
      <c r="Q231" s="2">
        <v>49</v>
      </c>
      <c r="R231" s="2">
        <f>SUM(F231,H231,J231,L231,N231,P231)</f>
        <v>225.07</v>
      </c>
      <c r="S231" s="3">
        <f>SUM(G231,I231,K231,M231,O231,Q231)</f>
        <v>276</v>
      </c>
      <c r="T231" s="7">
        <f>Tabelle2[[#This Row],[Robotron_Dauer]]*2+Tabelle2[[#This Row],[Schule_Dauer]]*5+Tabelle2[[#This Row],[Kletterarena_Dauer]]+Tabelle2[[#This Row],[Großeltern_Dauer]]</f>
        <v>368</v>
      </c>
    </row>
    <row r="232" spans="1:20" x14ac:dyDescent="0.2">
      <c r="A232" s="1">
        <v>260</v>
      </c>
      <c r="B232" s="2" t="s">
        <v>301</v>
      </c>
      <c r="C232" s="2">
        <v>51.152825999999997</v>
      </c>
      <c r="D232" s="2">
        <v>13.480133</v>
      </c>
      <c r="E232" s="2" t="s">
        <v>19</v>
      </c>
      <c r="F232" s="2">
        <v>25.2</v>
      </c>
      <c r="G232" s="2">
        <v>42</v>
      </c>
      <c r="H232" s="2">
        <v>35.700000000000003</v>
      </c>
      <c r="I232" s="2">
        <v>38</v>
      </c>
      <c r="J232" s="2">
        <v>39.729999999999997</v>
      </c>
      <c r="K232" s="2">
        <v>40</v>
      </c>
      <c r="L232" s="2">
        <v>22.77</v>
      </c>
      <c r="M232" s="2">
        <v>37</v>
      </c>
      <c r="N232" s="2">
        <v>68.650000000000006</v>
      </c>
      <c r="O232" s="2">
        <v>57</v>
      </c>
      <c r="P232" s="2">
        <v>22.91</v>
      </c>
      <c r="Q232" s="2">
        <v>38</v>
      </c>
      <c r="R232" s="2">
        <f>SUM(F232,H232,J232,L232,N232,P232)</f>
        <v>214.96</v>
      </c>
      <c r="S232" s="3">
        <f>SUM(G232,I232,K232,M232,O232,Q232)</f>
        <v>252</v>
      </c>
      <c r="T232" s="7">
        <f>Tabelle2[[#This Row],[Robotron_Dauer]]*2+Tabelle2[[#This Row],[Schule_Dauer]]*5+Tabelle2[[#This Row],[Kletterarena_Dauer]]+Tabelle2[[#This Row],[Großeltern_Dauer]]</f>
        <v>370</v>
      </c>
    </row>
    <row r="233" spans="1:20" x14ac:dyDescent="0.2">
      <c r="A233" s="1">
        <v>284</v>
      </c>
      <c r="B233" s="2" t="s">
        <v>325</v>
      </c>
      <c r="C233" s="2">
        <v>51.175259799999999</v>
      </c>
      <c r="D233" s="2">
        <v>14.0112097</v>
      </c>
      <c r="E233" s="2" t="s">
        <v>57</v>
      </c>
      <c r="F233" s="2">
        <v>33.840000000000003</v>
      </c>
      <c r="G233" s="2">
        <v>36</v>
      </c>
      <c r="H233" s="2">
        <v>52.19</v>
      </c>
      <c r="I233" s="2">
        <v>43</v>
      </c>
      <c r="J233" s="2">
        <v>56.22</v>
      </c>
      <c r="K233" s="2">
        <v>44</v>
      </c>
      <c r="L233" s="2">
        <v>37.29</v>
      </c>
      <c r="M233" s="2">
        <v>39</v>
      </c>
      <c r="N233" s="2">
        <v>22.55</v>
      </c>
      <c r="O233" s="2">
        <v>26</v>
      </c>
      <c r="P233" s="2">
        <v>36.94</v>
      </c>
      <c r="Q233" s="2">
        <v>38</v>
      </c>
      <c r="R233" s="2">
        <f>SUM(F233,H233,J233,L233,N233,P233)</f>
        <v>239.03</v>
      </c>
      <c r="S233" s="3">
        <f>SUM(G233,I233,K233,M233,O233,Q233)</f>
        <v>226</v>
      </c>
      <c r="T233" s="7">
        <f>Tabelle2[[#This Row],[Robotron_Dauer]]*2+Tabelle2[[#This Row],[Schule_Dauer]]*5+Tabelle2[[#This Row],[Kletterarena_Dauer]]+Tabelle2[[#This Row],[Großeltern_Dauer]]</f>
        <v>371</v>
      </c>
    </row>
    <row r="234" spans="1:20" x14ac:dyDescent="0.2">
      <c r="A234" s="1">
        <v>32</v>
      </c>
      <c r="B234" s="2" t="s">
        <v>56</v>
      </c>
      <c r="C234" s="2">
        <v>51.202327199999999</v>
      </c>
      <c r="D234" s="2">
        <v>14.0035848</v>
      </c>
      <c r="E234" s="2" t="s">
        <v>57</v>
      </c>
      <c r="F234" s="2">
        <v>35.4</v>
      </c>
      <c r="G234" s="2">
        <v>37</v>
      </c>
      <c r="H234" s="2">
        <v>53.76</v>
      </c>
      <c r="I234" s="2">
        <v>43</v>
      </c>
      <c r="J234" s="2">
        <v>57.79</v>
      </c>
      <c r="K234" s="2">
        <v>45</v>
      </c>
      <c r="L234" s="2">
        <v>38.85</v>
      </c>
      <c r="M234" s="2">
        <v>39</v>
      </c>
      <c r="N234" s="2">
        <v>24.11</v>
      </c>
      <c r="O234" s="2">
        <v>27</v>
      </c>
      <c r="P234" s="2">
        <v>38.5</v>
      </c>
      <c r="Q234" s="2">
        <v>39</v>
      </c>
      <c r="R234" s="2">
        <f>SUM(F234,H234,J234,L234,N234,P234)</f>
        <v>248.40999999999997</v>
      </c>
      <c r="S234" s="3">
        <f>SUM(G234,I234,K234,M234,O234,Q234)</f>
        <v>230</v>
      </c>
      <c r="T234" s="7">
        <f>Tabelle2[[#This Row],[Robotron_Dauer]]*2+Tabelle2[[#This Row],[Schule_Dauer]]*5+Tabelle2[[#This Row],[Kletterarena_Dauer]]+Tabelle2[[#This Row],[Großeltern_Dauer]]</f>
        <v>377</v>
      </c>
    </row>
    <row r="235" spans="1:20" x14ac:dyDescent="0.2">
      <c r="A235" s="1">
        <v>131</v>
      </c>
      <c r="B235" s="2" t="s">
        <v>166</v>
      </c>
      <c r="C235" s="2">
        <v>51.188814499999999</v>
      </c>
      <c r="D235" s="2">
        <v>14.054906000000001</v>
      </c>
      <c r="E235" s="2" t="s">
        <v>167</v>
      </c>
      <c r="F235" s="2">
        <v>38.65</v>
      </c>
      <c r="G235" s="2">
        <v>37</v>
      </c>
      <c r="H235" s="2">
        <v>57</v>
      </c>
      <c r="I235" s="2">
        <v>43</v>
      </c>
      <c r="J235" s="2">
        <v>61.03</v>
      </c>
      <c r="K235" s="2">
        <v>45</v>
      </c>
      <c r="L235" s="2">
        <v>42.1</v>
      </c>
      <c r="M235" s="2">
        <v>39</v>
      </c>
      <c r="N235" s="2">
        <v>28.04</v>
      </c>
      <c r="O235" s="2">
        <v>28</v>
      </c>
      <c r="P235" s="2">
        <v>41.74</v>
      </c>
      <c r="Q235" s="2">
        <v>39</v>
      </c>
      <c r="R235" s="2">
        <f>SUM(F235,H235,J235,L235,N235,P235)</f>
        <v>268.56</v>
      </c>
      <c r="S235" s="3">
        <f>SUM(G235,I235,K235,M235,O235,Q235)</f>
        <v>231</v>
      </c>
      <c r="T235" s="7">
        <f>Tabelle2[[#This Row],[Robotron_Dauer]]*2+Tabelle2[[#This Row],[Schule_Dauer]]*5+Tabelle2[[#This Row],[Kletterarena_Dauer]]+Tabelle2[[#This Row],[Großeltern_Dauer]]</f>
        <v>378</v>
      </c>
    </row>
    <row r="236" spans="1:20" x14ac:dyDescent="0.2">
      <c r="A236" s="1">
        <v>94</v>
      </c>
      <c r="B236" s="2" t="s">
        <v>122</v>
      </c>
      <c r="C236" s="2">
        <v>50.979783599999998</v>
      </c>
      <c r="D236" s="2">
        <v>14.111122099999999</v>
      </c>
      <c r="E236" s="2" t="s">
        <v>19</v>
      </c>
      <c r="F236" s="2">
        <v>35.4</v>
      </c>
      <c r="G236" s="2">
        <v>54</v>
      </c>
      <c r="H236" s="2">
        <v>40.22</v>
      </c>
      <c r="I236" s="2">
        <v>44</v>
      </c>
      <c r="J236" s="2">
        <v>33.96</v>
      </c>
      <c r="K236" s="2">
        <v>41</v>
      </c>
      <c r="L236" s="2">
        <v>42.54</v>
      </c>
      <c r="M236" s="2">
        <v>50</v>
      </c>
      <c r="N236" s="2">
        <v>22.28</v>
      </c>
      <c r="O236" s="2">
        <v>37</v>
      </c>
      <c r="P236" s="2">
        <v>43.7</v>
      </c>
      <c r="Q236" s="2">
        <v>53</v>
      </c>
      <c r="R236" s="2">
        <f>SUM(F236,H236,J236,L236,N236,P236)</f>
        <v>218.10000000000002</v>
      </c>
      <c r="S236" s="3">
        <f>SUM(G236,I236,K236,M236,O236,Q236)</f>
        <v>279</v>
      </c>
      <c r="T236" s="7">
        <f>Tabelle2[[#This Row],[Robotron_Dauer]]*2+Tabelle2[[#This Row],[Schule_Dauer]]*5+Tabelle2[[#This Row],[Kletterarena_Dauer]]+Tabelle2[[#This Row],[Großeltern_Dauer]]</f>
        <v>380</v>
      </c>
    </row>
    <row r="237" spans="1:20" x14ac:dyDescent="0.2">
      <c r="A237" s="1">
        <v>276</v>
      </c>
      <c r="B237" s="2" t="s">
        <v>317</v>
      </c>
      <c r="C237" s="2">
        <v>51.159251900000001</v>
      </c>
      <c r="D237" s="2">
        <v>13.4695369</v>
      </c>
      <c r="E237" s="2" t="s">
        <v>19</v>
      </c>
      <c r="F237" s="2">
        <v>32.85</v>
      </c>
      <c r="G237" s="2">
        <v>45</v>
      </c>
      <c r="H237" s="2">
        <v>34.43</v>
      </c>
      <c r="I237" s="2">
        <v>39</v>
      </c>
      <c r="J237" s="2">
        <v>38.46</v>
      </c>
      <c r="K237" s="2">
        <v>41</v>
      </c>
      <c r="L237" s="2">
        <v>25.12</v>
      </c>
      <c r="M237" s="2">
        <v>42</v>
      </c>
      <c r="N237" s="2">
        <v>67.37</v>
      </c>
      <c r="O237" s="2">
        <v>58</v>
      </c>
      <c r="P237" s="2">
        <v>32.450000000000003</v>
      </c>
      <c r="Q237" s="2">
        <v>43</v>
      </c>
      <c r="R237" s="2">
        <f>SUM(F237,H237,J237,L237,N237,P237)</f>
        <v>230.68</v>
      </c>
      <c r="S237" s="3">
        <f>SUM(G237,I237,K237,M237,O237,Q237)</f>
        <v>268</v>
      </c>
      <c r="T237" s="7">
        <f>Tabelle2[[#This Row],[Robotron_Dauer]]*2+Tabelle2[[#This Row],[Schule_Dauer]]*5+Tabelle2[[#This Row],[Kletterarena_Dauer]]+Tabelle2[[#This Row],[Großeltern_Dauer]]</f>
        <v>383</v>
      </c>
    </row>
    <row r="238" spans="1:20" x14ac:dyDescent="0.2">
      <c r="A238" s="1">
        <v>277</v>
      </c>
      <c r="B238" s="2" t="s">
        <v>318</v>
      </c>
      <c r="C238" s="2">
        <v>51.158562400000001</v>
      </c>
      <c r="D238" s="2">
        <v>13.4614528</v>
      </c>
      <c r="E238" s="2" t="s">
        <v>19</v>
      </c>
      <c r="F238" s="2">
        <v>32.97</v>
      </c>
      <c r="G238" s="2">
        <v>45</v>
      </c>
      <c r="H238" s="2">
        <v>34.549999999999997</v>
      </c>
      <c r="I238" s="2">
        <v>39</v>
      </c>
      <c r="J238" s="2">
        <v>38.58</v>
      </c>
      <c r="K238" s="2">
        <v>41</v>
      </c>
      <c r="L238" s="2">
        <v>25.23</v>
      </c>
      <c r="M238" s="2">
        <v>42</v>
      </c>
      <c r="N238" s="2">
        <v>67.489999999999995</v>
      </c>
      <c r="O238" s="2">
        <v>58</v>
      </c>
      <c r="P238" s="2">
        <v>32.56</v>
      </c>
      <c r="Q238" s="2">
        <v>43</v>
      </c>
      <c r="R238" s="2">
        <f>SUM(F238,H238,J238,L238,N238,P238)</f>
        <v>231.38</v>
      </c>
      <c r="S238" s="3">
        <f>SUM(G238,I238,K238,M238,O238,Q238)</f>
        <v>268</v>
      </c>
      <c r="T238" s="7">
        <f>Tabelle2[[#This Row],[Robotron_Dauer]]*2+Tabelle2[[#This Row],[Schule_Dauer]]*5+Tabelle2[[#This Row],[Kletterarena_Dauer]]+Tabelle2[[#This Row],[Großeltern_Dauer]]</f>
        <v>383</v>
      </c>
    </row>
    <row r="239" spans="1:20" x14ac:dyDescent="0.2">
      <c r="A239" s="1">
        <v>36</v>
      </c>
      <c r="B239" s="2" t="s">
        <v>61</v>
      </c>
      <c r="C239" s="2">
        <v>51.175117</v>
      </c>
      <c r="D239" s="2">
        <v>13.934946699999999</v>
      </c>
      <c r="E239" s="2" t="s">
        <v>62</v>
      </c>
      <c r="F239" s="2">
        <v>23.66</v>
      </c>
      <c r="G239" s="2">
        <v>36</v>
      </c>
      <c r="H239" s="2">
        <v>46.92</v>
      </c>
      <c r="I239" s="2">
        <v>45</v>
      </c>
      <c r="J239" s="2">
        <v>50.95</v>
      </c>
      <c r="K239" s="2">
        <v>46</v>
      </c>
      <c r="L239" s="2">
        <v>32.01</v>
      </c>
      <c r="M239" s="2">
        <v>41</v>
      </c>
      <c r="N239" s="2">
        <v>19.38</v>
      </c>
      <c r="O239" s="2">
        <v>24</v>
      </c>
      <c r="P239" s="2">
        <v>31.66</v>
      </c>
      <c r="Q239" s="2">
        <v>40</v>
      </c>
      <c r="R239" s="2">
        <f>SUM(F239,H239,J239,L239,N239,P239)</f>
        <v>204.57999999999998</v>
      </c>
      <c r="S239" s="3">
        <f>SUM(G239,I239,K239,M239,O239,Q239)</f>
        <v>232</v>
      </c>
      <c r="T239" s="7">
        <f>Tabelle2[[#This Row],[Robotron_Dauer]]*2+Tabelle2[[#This Row],[Schule_Dauer]]*5+Tabelle2[[#This Row],[Kletterarena_Dauer]]+Tabelle2[[#This Row],[Großeltern_Dauer]]</f>
        <v>385</v>
      </c>
    </row>
    <row r="240" spans="1:20" x14ac:dyDescent="0.2">
      <c r="A240" s="1">
        <v>129</v>
      </c>
      <c r="B240" s="2" t="s">
        <v>164</v>
      </c>
      <c r="C240" s="2">
        <v>51.152561200000001</v>
      </c>
      <c r="D240" s="2">
        <v>14.0910055</v>
      </c>
      <c r="E240" s="2" t="s">
        <v>163</v>
      </c>
      <c r="F240" s="2">
        <v>39.21</v>
      </c>
      <c r="G240" s="2">
        <v>38</v>
      </c>
      <c r="H240" s="2">
        <v>57.56</v>
      </c>
      <c r="I240" s="2">
        <v>44</v>
      </c>
      <c r="J240" s="2">
        <v>61.59</v>
      </c>
      <c r="K240" s="2">
        <v>46</v>
      </c>
      <c r="L240" s="2">
        <v>42.66</v>
      </c>
      <c r="M240" s="2">
        <v>40</v>
      </c>
      <c r="N240" s="2">
        <v>28.59</v>
      </c>
      <c r="O240" s="2">
        <v>29</v>
      </c>
      <c r="P240" s="2">
        <v>42.3</v>
      </c>
      <c r="Q240" s="2">
        <v>39</v>
      </c>
      <c r="R240" s="2">
        <f>SUM(F240,H240,J240,L240,N240,P240)</f>
        <v>271.91000000000003</v>
      </c>
      <c r="S240" s="3">
        <f>SUM(G240,I240,K240,M240,O240,Q240)</f>
        <v>236</v>
      </c>
      <c r="T240" s="7">
        <f>Tabelle2[[#This Row],[Robotron_Dauer]]*2+Tabelle2[[#This Row],[Schule_Dauer]]*5+Tabelle2[[#This Row],[Kletterarena_Dauer]]+Tabelle2[[#This Row],[Großeltern_Dauer]]</f>
        <v>387</v>
      </c>
    </row>
    <row r="241" spans="1:20" x14ac:dyDescent="0.2">
      <c r="A241" s="1">
        <v>239</v>
      </c>
      <c r="B241" s="2" t="s">
        <v>278</v>
      </c>
      <c r="C241" s="2">
        <v>51.118907499999999</v>
      </c>
      <c r="D241" s="2">
        <v>14.1424585</v>
      </c>
      <c r="E241" s="2" t="s">
        <v>279</v>
      </c>
      <c r="F241" s="2">
        <v>30.36</v>
      </c>
      <c r="G241" s="2">
        <v>43</v>
      </c>
      <c r="H241" s="2">
        <v>48.08</v>
      </c>
      <c r="I241" s="2">
        <v>47</v>
      </c>
      <c r="J241" s="2">
        <v>41.83</v>
      </c>
      <c r="K241" s="2">
        <v>44</v>
      </c>
      <c r="L241" s="2">
        <v>52.58</v>
      </c>
      <c r="M241" s="2">
        <v>47</v>
      </c>
      <c r="N241" s="2">
        <v>21.91</v>
      </c>
      <c r="O241" s="2">
        <v>26</v>
      </c>
      <c r="P241" s="2">
        <v>52.23</v>
      </c>
      <c r="Q241" s="2">
        <v>46</v>
      </c>
      <c r="R241" s="2">
        <f>SUM(F241,H241,J241,L241,N241,P241)</f>
        <v>246.98999999999998</v>
      </c>
      <c r="S241" s="3">
        <f>SUM(G241,I241,K241,M241,O241,Q241)</f>
        <v>253</v>
      </c>
      <c r="T241" s="7">
        <f>Tabelle2[[#This Row],[Robotron_Dauer]]*2+Tabelle2[[#This Row],[Schule_Dauer]]*5+Tabelle2[[#This Row],[Kletterarena_Dauer]]+Tabelle2[[#This Row],[Großeltern_Dauer]]</f>
        <v>387</v>
      </c>
    </row>
    <row r="242" spans="1:20" x14ac:dyDescent="0.2">
      <c r="A242" s="1">
        <v>102</v>
      </c>
      <c r="B242" s="2" t="s">
        <v>138</v>
      </c>
      <c r="C242" s="2">
        <v>51.163087099999998</v>
      </c>
      <c r="D242" s="2">
        <v>13.470493899999999</v>
      </c>
      <c r="E242" s="2" t="s">
        <v>19</v>
      </c>
      <c r="F242" s="2">
        <v>33.21</v>
      </c>
      <c r="G242" s="2">
        <v>46</v>
      </c>
      <c r="H242" s="2">
        <v>34.79</v>
      </c>
      <c r="I242" s="2">
        <v>40</v>
      </c>
      <c r="J242" s="2">
        <v>38.82</v>
      </c>
      <c r="K242" s="2">
        <v>42</v>
      </c>
      <c r="L242" s="2">
        <v>24.44</v>
      </c>
      <c r="M242" s="2">
        <v>41</v>
      </c>
      <c r="N242" s="2">
        <v>67.73</v>
      </c>
      <c r="O242" s="2">
        <v>59</v>
      </c>
      <c r="P242" s="2">
        <v>24.58</v>
      </c>
      <c r="Q242" s="2">
        <v>42</v>
      </c>
      <c r="R242" s="2">
        <f>SUM(F242,H242,J242,L242,N242,P242)</f>
        <v>223.57</v>
      </c>
      <c r="S242" s="3">
        <f>SUM(G242,I242,K242,M242,O242,Q242)</f>
        <v>270</v>
      </c>
      <c r="T242" s="7">
        <f>Tabelle2[[#This Row],[Robotron_Dauer]]*2+Tabelle2[[#This Row],[Schule_Dauer]]*5+Tabelle2[[#This Row],[Kletterarena_Dauer]]+Tabelle2[[#This Row],[Großeltern_Dauer]]</f>
        <v>390</v>
      </c>
    </row>
    <row r="243" spans="1:20" x14ac:dyDescent="0.2">
      <c r="A243" s="1">
        <v>275</v>
      </c>
      <c r="B243" s="2" t="s">
        <v>316</v>
      </c>
      <c r="C243" s="2">
        <v>51.161304100000002</v>
      </c>
      <c r="D243" s="2">
        <v>13.473445099999999</v>
      </c>
      <c r="E243" s="2" t="s">
        <v>19</v>
      </c>
      <c r="F243" s="2">
        <v>33.28</v>
      </c>
      <c r="G243" s="2">
        <v>46</v>
      </c>
      <c r="H243" s="2">
        <v>34.869999999999997</v>
      </c>
      <c r="I243" s="2">
        <v>40</v>
      </c>
      <c r="J243" s="2">
        <v>38.89</v>
      </c>
      <c r="K243" s="2">
        <v>42</v>
      </c>
      <c r="L243" s="2">
        <v>24.51</v>
      </c>
      <c r="M243" s="2">
        <v>41</v>
      </c>
      <c r="N243" s="2">
        <v>67.81</v>
      </c>
      <c r="O243" s="2">
        <v>59</v>
      </c>
      <c r="P243" s="2">
        <v>24.65</v>
      </c>
      <c r="Q243" s="2">
        <v>42</v>
      </c>
      <c r="R243" s="2">
        <f>SUM(F243,H243,J243,L243,N243,P243)</f>
        <v>224.01000000000002</v>
      </c>
      <c r="S243" s="3">
        <f>SUM(G243,I243,K243,M243,O243,Q243)</f>
        <v>270</v>
      </c>
      <c r="T243" s="7">
        <f>Tabelle2[[#This Row],[Robotron_Dauer]]*2+Tabelle2[[#This Row],[Schule_Dauer]]*5+Tabelle2[[#This Row],[Kletterarena_Dauer]]+Tabelle2[[#This Row],[Großeltern_Dauer]]</f>
        <v>390</v>
      </c>
    </row>
    <row r="244" spans="1:20" x14ac:dyDescent="0.2">
      <c r="A244" s="1">
        <v>270</v>
      </c>
      <c r="B244" s="2" t="s">
        <v>311</v>
      </c>
      <c r="C244" s="2">
        <v>51.131561499999997</v>
      </c>
      <c r="D244" s="2">
        <v>13.5974731</v>
      </c>
      <c r="E244" s="2" t="s">
        <v>19</v>
      </c>
      <c r="F244" s="2">
        <v>16.93</v>
      </c>
      <c r="G244" s="2">
        <v>38</v>
      </c>
      <c r="H244" s="2">
        <v>31.71</v>
      </c>
      <c r="I244" s="2">
        <v>42</v>
      </c>
      <c r="J244" s="2">
        <v>35.74</v>
      </c>
      <c r="K244" s="2">
        <v>44</v>
      </c>
      <c r="L244" s="2">
        <v>16.989999999999998</v>
      </c>
      <c r="M244" s="2">
        <v>38</v>
      </c>
      <c r="N244" s="2">
        <v>48.38</v>
      </c>
      <c r="O244" s="2">
        <v>49</v>
      </c>
      <c r="P244" s="2">
        <v>16.64</v>
      </c>
      <c r="Q244" s="2">
        <v>37</v>
      </c>
      <c r="R244" s="2">
        <f>SUM(F244,H244,J244,L244,N244,P244)</f>
        <v>166.39</v>
      </c>
      <c r="S244" s="3">
        <f>SUM(G244,I244,K244,M244,O244,Q244)</f>
        <v>248</v>
      </c>
      <c r="T244" s="7">
        <f>Tabelle2[[#This Row],[Robotron_Dauer]]*2+Tabelle2[[#This Row],[Schule_Dauer]]*5+Tabelle2[[#This Row],[Kletterarena_Dauer]]+Tabelle2[[#This Row],[Großeltern_Dauer]]</f>
        <v>391</v>
      </c>
    </row>
    <row r="245" spans="1:20" x14ac:dyDescent="0.2">
      <c r="A245" s="1">
        <v>156</v>
      </c>
      <c r="B245" s="2" t="s">
        <v>194</v>
      </c>
      <c r="C245" s="2">
        <v>51.134420499999997</v>
      </c>
      <c r="D245" s="2">
        <v>13.459620900000001</v>
      </c>
      <c r="E245" s="2" t="s">
        <v>19</v>
      </c>
      <c r="F245" s="2">
        <v>33.630000000000003</v>
      </c>
      <c r="G245" s="2">
        <v>46</v>
      </c>
      <c r="H245" s="2">
        <v>35.21</v>
      </c>
      <c r="I245" s="2">
        <v>40</v>
      </c>
      <c r="J245" s="2">
        <v>39.229999999999997</v>
      </c>
      <c r="K245" s="2">
        <v>42</v>
      </c>
      <c r="L245" s="2">
        <v>31.28</v>
      </c>
      <c r="M245" s="2">
        <v>43</v>
      </c>
      <c r="N245" s="2">
        <v>68.150000000000006</v>
      </c>
      <c r="O245" s="2">
        <v>59</v>
      </c>
      <c r="P245" s="2">
        <v>33.22</v>
      </c>
      <c r="Q245" s="2">
        <v>44</v>
      </c>
      <c r="R245" s="2">
        <f>SUM(F245,H245,J245,L245,N245,P245)</f>
        <v>240.72</v>
      </c>
      <c r="S245" s="3">
        <f>SUM(G245,I245,K245,M245,O245,Q245)</f>
        <v>274</v>
      </c>
      <c r="T245" s="7">
        <f>Tabelle2[[#This Row],[Robotron_Dauer]]*2+Tabelle2[[#This Row],[Schule_Dauer]]*5+Tabelle2[[#This Row],[Kletterarena_Dauer]]+Tabelle2[[#This Row],[Großeltern_Dauer]]</f>
        <v>392</v>
      </c>
    </row>
    <row r="246" spans="1:20" x14ac:dyDescent="0.2">
      <c r="A246" s="1">
        <v>88</v>
      </c>
      <c r="B246" s="2" t="s">
        <v>67</v>
      </c>
      <c r="C246" s="2">
        <v>51.008307299999998</v>
      </c>
      <c r="D246" s="2">
        <v>14.139553299999999</v>
      </c>
      <c r="E246" s="2" t="s">
        <v>122</v>
      </c>
      <c r="F246" s="2">
        <v>32.51</v>
      </c>
      <c r="G246" s="2">
        <v>49</v>
      </c>
      <c r="H246" s="2">
        <v>44.75</v>
      </c>
      <c r="I246" s="2">
        <v>47</v>
      </c>
      <c r="J246" s="2">
        <v>38.5</v>
      </c>
      <c r="K246" s="2">
        <v>44</v>
      </c>
      <c r="L246" s="2">
        <v>47.08</v>
      </c>
      <c r="M246" s="2">
        <v>54</v>
      </c>
      <c r="N246" s="2">
        <v>24.06</v>
      </c>
      <c r="O246" s="2">
        <v>32</v>
      </c>
      <c r="P246" s="2">
        <v>34.99</v>
      </c>
      <c r="Q246" s="2">
        <v>54</v>
      </c>
      <c r="R246" s="2">
        <f>SUM(F246,H246,J246,L246,N246,P246)</f>
        <v>221.89</v>
      </c>
      <c r="S246" s="3">
        <f>SUM(G246,I246,K246,M246,O246,Q246)</f>
        <v>280</v>
      </c>
      <c r="T246" s="7">
        <f>Tabelle2[[#This Row],[Robotron_Dauer]]*2+Tabelle2[[#This Row],[Schule_Dauer]]*5+Tabelle2[[#This Row],[Kletterarena_Dauer]]+Tabelle2[[#This Row],[Großeltern_Dauer]]</f>
        <v>400</v>
      </c>
    </row>
    <row r="247" spans="1:20" x14ac:dyDescent="0.2">
      <c r="A247" s="1">
        <v>230</v>
      </c>
      <c r="B247" s="2" t="s">
        <v>268</v>
      </c>
      <c r="C247" s="2">
        <v>51.148635599999999</v>
      </c>
      <c r="D247" s="2">
        <v>13.4591312</v>
      </c>
      <c r="E247" s="2" t="s">
        <v>19</v>
      </c>
      <c r="F247" s="2">
        <v>33.85</v>
      </c>
      <c r="G247" s="2">
        <v>47</v>
      </c>
      <c r="H247" s="2">
        <v>35.43</v>
      </c>
      <c r="I247" s="2">
        <v>41</v>
      </c>
      <c r="J247" s="2">
        <v>39.46</v>
      </c>
      <c r="K247" s="2">
        <v>43</v>
      </c>
      <c r="L247" s="2">
        <v>26.12</v>
      </c>
      <c r="M247" s="2">
        <v>44</v>
      </c>
      <c r="N247" s="2">
        <v>68.38</v>
      </c>
      <c r="O247" s="2">
        <v>60</v>
      </c>
      <c r="P247" s="2">
        <v>33.450000000000003</v>
      </c>
      <c r="Q247" s="2">
        <v>45</v>
      </c>
      <c r="R247" s="2">
        <f>SUM(F247,H247,J247,L247,N247,P247)</f>
        <v>236.69</v>
      </c>
      <c r="S247" s="3">
        <f>SUM(G247,I247,K247,M247,O247,Q247)</f>
        <v>280</v>
      </c>
      <c r="T247" s="7">
        <f>Tabelle2[[#This Row],[Robotron_Dauer]]*2+Tabelle2[[#This Row],[Schule_Dauer]]*5+Tabelle2[[#This Row],[Kletterarena_Dauer]]+Tabelle2[[#This Row],[Großeltern_Dauer]]</f>
        <v>401</v>
      </c>
    </row>
    <row r="248" spans="1:20" x14ac:dyDescent="0.2">
      <c r="A248" s="1">
        <v>253</v>
      </c>
      <c r="B248" s="2" t="s">
        <v>294</v>
      </c>
      <c r="C248" s="2">
        <v>50.980965699999999</v>
      </c>
      <c r="D248" s="2">
        <v>14.1285121</v>
      </c>
      <c r="E248" s="2" t="s">
        <v>122</v>
      </c>
      <c r="F248" s="2">
        <v>36.58</v>
      </c>
      <c r="G248" s="2">
        <v>53</v>
      </c>
      <c r="H248" s="2">
        <v>42.07</v>
      </c>
      <c r="I248" s="2">
        <v>47</v>
      </c>
      <c r="J248" s="2">
        <v>35.81</v>
      </c>
      <c r="K248" s="2">
        <v>44</v>
      </c>
      <c r="L248" s="2">
        <v>44.39</v>
      </c>
      <c r="M248" s="2">
        <v>53</v>
      </c>
      <c r="N248" s="2">
        <v>28.13</v>
      </c>
      <c r="O248" s="2">
        <v>37</v>
      </c>
      <c r="P248" s="2">
        <v>45.55</v>
      </c>
      <c r="Q248" s="2">
        <v>55</v>
      </c>
      <c r="R248" s="2">
        <f>SUM(F248,H248,J248,L248,N248,P248)</f>
        <v>232.53000000000003</v>
      </c>
      <c r="S248" s="3">
        <f>SUM(G248,I248,K248,M248,O248,Q248)</f>
        <v>289</v>
      </c>
      <c r="T248" s="7">
        <f>Tabelle2[[#This Row],[Robotron_Dauer]]*2+Tabelle2[[#This Row],[Schule_Dauer]]*5+Tabelle2[[#This Row],[Kletterarena_Dauer]]+Tabelle2[[#This Row],[Großeltern_Dauer]]</f>
        <v>404</v>
      </c>
    </row>
    <row r="249" spans="1:20" x14ac:dyDescent="0.2">
      <c r="A249" s="1">
        <v>222</v>
      </c>
      <c r="B249" s="2" t="s">
        <v>260</v>
      </c>
      <c r="C249" s="2">
        <v>51.167596500000002</v>
      </c>
      <c r="D249" s="2">
        <v>13.477072100000001</v>
      </c>
      <c r="E249" s="2" t="s">
        <v>19</v>
      </c>
      <c r="F249" s="2">
        <v>27.15</v>
      </c>
      <c r="G249" s="2">
        <v>47</v>
      </c>
      <c r="H249" s="2">
        <v>35.46</v>
      </c>
      <c r="I249" s="2">
        <v>42</v>
      </c>
      <c r="J249" s="2">
        <v>39.49</v>
      </c>
      <c r="K249" s="2">
        <v>44</v>
      </c>
      <c r="L249" s="2">
        <v>24.71</v>
      </c>
      <c r="M249" s="2">
        <v>42</v>
      </c>
      <c r="N249" s="2">
        <v>61.08</v>
      </c>
      <c r="O249" s="2">
        <v>59</v>
      </c>
      <c r="P249" s="2">
        <v>24.85</v>
      </c>
      <c r="Q249" s="2">
        <v>43</v>
      </c>
      <c r="R249" s="2">
        <f>SUM(F249,H249,J249,L249,N249,P249)</f>
        <v>212.73999999999998</v>
      </c>
      <c r="S249" s="3">
        <f>SUM(G249,I249,K249,M249,O249,Q249)</f>
        <v>277</v>
      </c>
      <c r="T249" s="7">
        <f>Tabelle2[[#This Row],[Robotron_Dauer]]*2+Tabelle2[[#This Row],[Schule_Dauer]]*5+Tabelle2[[#This Row],[Kletterarena_Dauer]]+Tabelle2[[#This Row],[Großeltern_Dauer]]</f>
        <v>405</v>
      </c>
    </row>
    <row r="250" spans="1:20" x14ac:dyDescent="0.2">
      <c r="A250" s="1">
        <v>155</v>
      </c>
      <c r="B250" s="2" t="s">
        <v>102</v>
      </c>
      <c r="C250" s="2">
        <v>51.137651900000002</v>
      </c>
      <c r="D250" s="2">
        <v>13.4423689</v>
      </c>
      <c r="E250" s="2" t="s">
        <v>19</v>
      </c>
      <c r="F250" s="2">
        <v>33.950000000000003</v>
      </c>
      <c r="G250" s="2">
        <v>47</v>
      </c>
      <c r="H250" s="2">
        <v>35.53</v>
      </c>
      <c r="I250" s="2">
        <v>42</v>
      </c>
      <c r="J250" s="2">
        <v>39.549999999999997</v>
      </c>
      <c r="K250" s="2">
        <v>43</v>
      </c>
      <c r="L250" s="2">
        <v>31.6</v>
      </c>
      <c r="M250" s="2">
        <v>45</v>
      </c>
      <c r="N250" s="2">
        <v>68.47</v>
      </c>
      <c r="O250" s="2">
        <v>61</v>
      </c>
      <c r="P250" s="2">
        <v>33.54</v>
      </c>
      <c r="Q250" s="2">
        <v>45</v>
      </c>
      <c r="R250" s="2">
        <f>SUM(F250,H250,J250,L250,N250,P250)</f>
        <v>242.64</v>
      </c>
      <c r="S250" s="3">
        <f>SUM(G250,I250,K250,M250,O250,Q250)</f>
        <v>283</v>
      </c>
      <c r="T250" s="7">
        <f>Tabelle2[[#This Row],[Robotron_Dauer]]*2+Tabelle2[[#This Row],[Schule_Dauer]]*5+Tabelle2[[#This Row],[Kletterarena_Dauer]]+Tabelle2[[#This Row],[Großeltern_Dauer]]</f>
        <v>405</v>
      </c>
    </row>
    <row r="251" spans="1:20" x14ac:dyDescent="0.2">
      <c r="A251" s="1">
        <v>271</v>
      </c>
      <c r="B251" s="2" t="s">
        <v>312</v>
      </c>
      <c r="C251" s="2">
        <v>51.166480100000001</v>
      </c>
      <c r="D251" s="2">
        <v>13.468495900000001</v>
      </c>
      <c r="E251" s="2" t="s">
        <v>19</v>
      </c>
      <c r="F251" s="2">
        <v>27.4</v>
      </c>
      <c r="G251" s="2">
        <v>47</v>
      </c>
      <c r="H251" s="2">
        <v>35.81</v>
      </c>
      <c r="I251" s="2">
        <v>42</v>
      </c>
      <c r="J251" s="2">
        <v>39.840000000000003</v>
      </c>
      <c r="K251" s="2">
        <v>44</v>
      </c>
      <c r="L251" s="2">
        <v>24.97</v>
      </c>
      <c r="M251" s="2">
        <v>42</v>
      </c>
      <c r="N251" s="2">
        <v>61.85</v>
      </c>
      <c r="O251" s="2">
        <v>61</v>
      </c>
      <c r="P251" s="2">
        <v>25.11</v>
      </c>
      <c r="Q251" s="2">
        <v>43</v>
      </c>
      <c r="R251" s="2">
        <f>SUM(F251,H251,J251,L251,N251,P251)</f>
        <v>214.98000000000002</v>
      </c>
      <c r="S251" s="3">
        <f>SUM(G251,I251,K251,M251,O251,Q251)</f>
        <v>279</v>
      </c>
      <c r="T251" s="7">
        <f>Tabelle2[[#This Row],[Robotron_Dauer]]*2+Tabelle2[[#This Row],[Schule_Dauer]]*5+Tabelle2[[#This Row],[Kletterarena_Dauer]]+Tabelle2[[#This Row],[Großeltern_Dauer]]</f>
        <v>407</v>
      </c>
    </row>
    <row r="252" spans="1:20" x14ac:dyDescent="0.2">
      <c r="A252" s="1">
        <v>227</v>
      </c>
      <c r="B252" s="2" t="s">
        <v>265</v>
      </c>
      <c r="C252" s="2">
        <v>51.157219300000001</v>
      </c>
      <c r="D252" s="2">
        <v>13.458812200000001</v>
      </c>
      <c r="E252" s="2" t="s">
        <v>19</v>
      </c>
      <c r="F252" s="2">
        <v>33.79</v>
      </c>
      <c r="G252" s="2">
        <v>48</v>
      </c>
      <c r="H252" s="2">
        <v>35.369999999999997</v>
      </c>
      <c r="I252" s="2">
        <v>42</v>
      </c>
      <c r="J252" s="2">
        <v>39.39</v>
      </c>
      <c r="K252" s="2">
        <v>44</v>
      </c>
      <c r="L252" s="2">
        <v>26.05</v>
      </c>
      <c r="M252" s="2">
        <v>45</v>
      </c>
      <c r="N252" s="2">
        <v>68.31</v>
      </c>
      <c r="O252" s="2">
        <v>61</v>
      </c>
      <c r="P252" s="2">
        <v>33.380000000000003</v>
      </c>
      <c r="Q252" s="2">
        <v>46</v>
      </c>
      <c r="R252" s="2">
        <f>SUM(F252,H252,J252,L252,N252,P252)</f>
        <v>236.29</v>
      </c>
      <c r="S252" s="3">
        <f>SUM(G252,I252,K252,M252,O252,Q252)</f>
        <v>286</v>
      </c>
      <c r="T252" s="7">
        <f>Tabelle2[[#This Row],[Robotron_Dauer]]*2+Tabelle2[[#This Row],[Schule_Dauer]]*5+Tabelle2[[#This Row],[Kletterarena_Dauer]]+Tabelle2[[#This Row],[Großeltern_Dauer]]</f>
        <v>410</v>
      </c>
    </row>
    <row r="253" spans="1:20" x14ac:dyDescent="0.2">
      <c r="A253" s="1">
        <v>278</v>
      </c>
      <c r="B253" s="2" t="s">
        <v>319</v>
      </c>
      <c r="C253" s="2">
        <v>51.161237200000002</v>
      </c>
      <c r="D253" s="2">
        <v>13.451608800000001</v>
      </c>
      <c r="E253" s="2" t="s">
        <v>19</v>
      </c>
      <c r="F253" s="2">
        <v>34.450000000000003</v>
      </c>
      <c r="G253" s="2">
        <v>48</v>
      </c>
      <c r="H253" s="2">
        <v>36.03</v>
      </c>
      <c r="I253" s="2">
        <v>42</v>
      </c>
      <c r="J253" s="2">
        <v>40.049999999999997</v>
      </c>
      <c r="K253" s="2">
        <v>44</v>
      </c>
      <c r="L253" s="2">
        <v>26.71</v>
      </c>
      <c r="M253" s="2">
        <v>45</v>
      </c>
      <c r="N253" s="2">
        <v>68.97</v>
      </c>
      <c r="O253" s="2">
        <v>61</v>
      </c>
      <c r="P253" s="2">
        <v>34.04</v>
      </c>
      <c r="Q253" s="2">
        <v>46</v>
      </c>
      <c r="R253" s="2">
        <f>SUM(F253,H253,J253,L253,N253,P253)</f>
        <v>240.25</v>
      </c>
      <c r="S253" s="3">
        <f>SUM(G253,I253,K253,M253,O253,Q253)</f>
        <v>286</v>
      </c>
      <c r="T253" s="7">
        <f>Tabelle2[[#This Row],[Robotron_Dauer]]*2+Tabelle2[[#This Row],[Schule_Dauer]]*5+Tabelle2[[#This Row],[Kletterarena_Dauer]]+Tabelle2[[#This Row],[Großeltern_Dauer]]</f>
        <v>410</v>
      </c>
    </row>
    <row r="254" spans="1:20" x14ac:dyDescent="0.2">
      <c r="A254" s="1">
        <v>218</v>
      </c>
      <c r="B254" s="2" t="s">
        <v>256</v>
      </c>
      <c r="C254" s="2">
        <v>51.165304999999996</v>
      </c>
      <c r="D254" s="2">
        <v>13.4817815</v>
      </c>
      <c r="E254" s="2" t="s">
        <v>19</v>
      </c>
      <c r="F254" s="2">
        <v>27.45</v>
      </c>
      <c r="G254" s="2">
        <v>48</v>
      </c>
      <c r="H254" s="2">
        <v>35.76</v>
      </c>
      <c r="I254" s="2">
        <v>43</v>
      </c>
      <c r="J254" s="2">
        <v>39.79</v>
      </c>
      <c r="K254" s="2">
        <v>45</v>
      </c>
      <c r="L254" s="2">
        <v>25.02</v>
      </c>
      <c r="M254" s="2">
        <v>42</v>
      </c>
      <c r="N254" s="2">
        <v>60.7</v>
      </c>
      <c r="O254" s="2">
        <v>58</v>
      </c>
      <c r="P254" s="2">
        <v>25.16</v>
      </c>
      <c r="Q254" s="2">
        <v>43</v>
      </c>
      <c r="R254" s="2">
        <f>SUM(F254,H254,J254,L254,N254,P254)</f>
        <v>213.88000000000002</v>
      </c>
      <c r="S254" s="3">
        <f>SUM(G254,I254,K254,M254,O254,Q254)</f>
        <v>279</v>
      </c>
      <c r="T254" s="7">
        <f>Tabelle2[[#This Row],[Robotron_Dauer]]*2+Tabelle2[[#This Row],[Schule_Dauer]]*5+Tabelle2[[#This Row],[Kletterarena_Dauer]]+Tabelle2[[#This Row],[Großeltern_Dauer]]</f>
        <v>411</v>
      </c>
    </row>
    <row r="255" spans="1:20" x14ac:dyDescent="0.2">
      <c r="A255" s="1">
        <v>146</v>
      </c>
      <c r="B255" s="2" t="s">
        <v>183</v>
      </c>
      <c r="C255" s="2">
        <v>50.990745799999999</v>
      </c>
      <c r="D255" s="2">
        <v>14.151834600000001</v>
      </c>
      <c r="E255" s="2" t="s">
        <v>122</v>
      </c>
      <c r="F255" s="2">
        <v>35.08</v>
      </c>
      <c r="G255" s="2">
        <v>53</v>
      </c>
      <c r="H255" s="2">
        <v>43.52</v>
      </c>
      <c r="I255" s="2">
        <v>48</v>
      </c>
      <c r="J255" s="2">
        <v>37.270000000000003</v>
      </c>
      <c r="K255" s="2">
        <v>45</v>
      </c>
      <c r="L255" s="2">
        <v>45.85</v>
      </c>
      <c r="M255" s="2">
        <v>54</v>
      </c>
      <c r="N255" s="2">
        <v>26.63</v>
      </c>
      <c r="O255" s="2">
        <v>36</v>
      </c>
      <c r="P255" s="2">
        <v>47</v>
      </c>
      <c r="Q255" s="2">
        <v>56</v>
      </c>
      <c r="R255" s="2">
        <f>SUM(F255,H255,J255,L255,N255,P255)</f>
        <v>235.35</v>
      </c>
      <c r="S255" s="3">
        <f>SUM(G255,I255,K255,M255,O255,Q255)</f>
        <v>292</v>
      </c>
      <c r="T255" s="7">
        <f>Tabelle2[[#This Row],[Robotron_Dauer]]*2+Tabelle2[[#This Row],[Schule_Dauer]]*5+Tabelle2[[#This Row],[Kletterarena_Dauer]]+Tabelle2[[#This Row],[Großeltern_Dauer]]</f>
        <v>411</v>
      </c>
    </row>
    <row r="256" spans="1:20" x14ac:dyDescent="0.2">
      <c r="A256" s="1">
        <v>258</v>
      </c>
      <c r="B256" s="2" t="s">
        <v>299</v>
      </c>
      <c r="C256" s="2">
        <v>51.1705519</v>
      </c>
      <c r="D256" s="2">
        <v>13.4686898</v>
      </c>
      <c r="E256" s="2" t="s">
        <v>19</v>
      </c>
      <c r="F256" s="2">
        <v>27.47</v>
      </c>
      <c r="G256" s="2">
        <v>47</v>
      </c>
      <c r="H256" s="2">
        <v>35.880000000000003</v>
      </c>
      <c r="I256" s="2">
        <v>43</v>
      </c>
      <c r="J256" s="2">
        <v>39.909999999999997</v>
      </c>
      <c r="K256" s="2">
        <v>45</v>
      </c>
      <c r="L256" s="2">
        <v>25.04</v>
      </c>
      <c r="M256" s="2">
        <v>42</v>
      </c>
      <c r="N256" s="2">
        <v>61.56</v>
      </c>
      <c r="O256" s="2">
        <v>60</v>
      </c>
      <c r="P256" s="2">
        <v>25.18</v>
      </c>
      <c r="Q256" s="2">
        <v>43</v>
      </c>
      <c r="R256" s="2">
        <f>SUM(F256,H256,J256,L256,N256,P256)</f>
        <v>215.04</v>
      </c>
      <c r="S256" s="3">
        <f>SUM(G256,I256,K256,M256,O256,Q256)</f>
        <v>280</v>
      </c>
      <c r="T256" s="7">
        <f>Tabelle2[[#This Row],[Robotron_Dauer]]*2+Tabelle2[[#This Row],[Schule_Dauer]]*5+Tabelle2[[#This Row],[Kletterarena_Dauer]]+Tabelle2[[#This Row],[Großeltern_Dauer]]</f>
        <v>413</v>
      </c>
    </row>
    <row r="257" spans="1:20" x14ac:dyDescent="0.2">
      <c r="A257" s="1">
        <v>100</v>
      </c>
      <c r="B257" s="2" t="s">
        <v>136</v>
      </c>
      <c r="C257" s="2">
        <v>51.220516000000003</v>
      </c>
      <c r="D257" s="2">
        <v>14.135030499999999</v>
      </c>
      <c r="E257" s="2" t="s">
        <v>137</v>
      </c>
      <c r="F257" s="2">
        <v>46.88</v>
      </c>
      <c r="G257" s="2">
        <v>41</v>
      </c>
      <c r="H257" s="2">
        <v>65.23</v>
      </c>
      <c r="I257" s="2">
        <v>47</v>
      </c>
      <c r="J257" s="2">
        <v>69.260000000000005</v>
      </c>
      <c r="K257" s="2">
        <v>49</v>
      </c>
      <c r="L257" s="2">
        <v>50.33</v>
      </c>
      <c r="M257" s="2">
        <v>44</v>
      </c>
      <c r="N257" s="2">
        <v>36.26</v>
      </c>
      <c r="O257" s="2">
        <v>32</v>
      </c>
      <c r="P257" s="2">
        <v>49.97</v>
      </c>
      <c r="Q257" s="2">
        <v>43</v>
      </c>
      <c r="R257" s="2">
        <f>SUM(F257,H257,J257,L257,N257,P257)</f>
        <v>317.92999999999995</v>
      </c>
      <c r="S257" s="3">
        <f>SUM(G257,I257,K257,M257,O257,Q257)</f>
        <v>256</v>
      </c>
      <c r="T257" s="7">
        <f>Tabelle2[[#This Row],[Robotron_Dauer]]*2+Tabelle2[[#This Row],[Schule_Dauer]]*5+Tabelle2[[#This Row],[Kletterarena_Dauer]]+Tabelle2[[#This Row],[Großeltern_Dauer]]</f>
        <v>415</v>
      </c>
    </row>
    <row r="258" spans="1:20" x14ac:dyDescent="0.2">
      <c r="A258" s="1">
        <v>225</v>
      </c>
      <c r="B258" s="2" t="s">
        <v>263</v>
      </c>
      <c r="C258" s="2">
        <v>51.169778200000003</v>
      </c>
      <c r="D258" s="2">
        <v>13.4661901</v>
      </c>
      <c r="E258" s="2" t="s">
        <v>19</v>
      </c>
      <c r="F258" s="2">
        <v>27.58</v>
      </c>
      <c r="G258" s="2">
        <v>48</v>
      </c>
      <c r="H258" s="2">
        <v>35.99</v>
      </c>
      <c r="I258" s="2">
        <v>44</v>
      </c>
      <c r="J258" s="2">
        <v>40.020000000000003</v>
      </c>
      <c r="K258" s="2">
        <v>45</v>
      </c>
      <c r="L258" s="2">
        <v>25.15</v>
      </c>
      <c r="M258" s="2">
        <v>43</v>
      </c>
      <c r="N258" s="2">
        <v>62.03</v>
      </c>
      <c r="O258" s="2">
        <v>62</v>
      </c>
      <c r="P258" s="2">
        <v>25.29</v>
      </c>
      <c r="Q258" s="2">
        <v>44</v>
      </c>
      <c r="R258" s="2">
        <f>SUM(F258,H258,J258,L258,N258,P258)</f>
        <v>216.06</v>
      </c>
      <c r="S258" s="3">
        <f>SUM(G258,I258,K258,M258,O258,Q258)</f>
        <v>286</v>
      </c>
      <c r="T258" s="7">
        <f>Tabelle2[[#This Row],[Robotron_Dauer]]*2+Tabelle2[[#This Row],[Schule_Dauer]]*5+Tabelle2[[#This Row],[Kletterarena_Dauer]]+Tabelle2[[#This Row],[Großeltern_Dauer]]</f>
        <v>418</v>
      </c>
    </row>
    <row r="259" spans="1:20" x14ac:dyDescent="0.2">
      <c r="A259" s="1">
        <v>125</v>
      </c>
      <c r="B259" s="2" t="s">
        <v>158</v>
      </c>
      <c r="C259" s="2">
        <v>51.088638799999998</v>
      </c>
      <c r="D259" s="2">
        <v>14.1579683</v>
      </c>
      <c r="E259" s="2" t="s">
        <v>19</v>
      </c>
      <c r="F259" s="2">
        <v>33.61</v>
      </c>
      <c r="G259" s="2">
        <v>48</v>
      </c>
      <c r="H259" s="2">
        <v>50.29</v>
      </c>
      <c r="I259" s="2">
        <v>50</v>
      </c>
      <c r="J259" s="2">
        <v>44.04</v>
      </c>
      <c r="K259" s="2">
        <v>47</v>
      </c>
      <c r="L259" s="2">
        <v>57.32</v>
      </c>
      <c r="M259" s="2">
        <v>53</v>
      </c>
      <c r="N259" s="2">
        <v>25.17</v>
      </c>
      <c r="O259" s="2">
        <v>31</v>
      </c>
      <c r="P259" s="2">
        <v>56.97</v>
      </c>
      <c r="Q259" s="2">
        <v>52</v>
      </c>
      <c r="R259" s="2">
        <f>SUM(F259,H259,J259,L259,N259,P259)</f>
        <v>267.39999999999998</v>
      </c>
      <c r="S259" s="3">
        <f>SUM(G259,I259,K259,M259,O259,Q259)</f>
        <v>281</v>
      </c>
      <c r="T259" s="7">
        <f>Tabelle2[[#This Row],[Robotron_Dauer]]*2+Tabelle2[[#This Row],[Schule_Dauer]]*5+Tabelle2[[#This Row],[Kletterarena_Dauer]]+Tabelle2[[#This Row],[Großeltern_Dauer]]</f>
        <v>419</v>
      </c>
    </row>
    <row r="260" spans="1:20" x14ac:dyDescent="0.2">
      <c r="A260" s="1">
        <v>229</v>
      </c>
      <c r="B260" s="2" t="s">
        <v>267</v>
      </c>
      <c r="C260" s="2">
        <v>51.160311399999998</v>
      </c>
      <c r="D260" s="2">
        <v>13.487771499999999</v>
      </c>
      <c r="E260" s="2" t="s">
        <v>19</v>
      </c>
      <c r="F260" s="2">
        <v>30.29</v>
      </c>
      <c r="G260" s="2">
        <v>49</v>
      </c>
      <c r="H260" s="2">
        <v>36.24</v>
      </c>
      <c r="I260" s="2">
        <v>44</v>
      </c>
      <c r="J260" s="2">
        <v>40.270000000000003</v>
      </c>
      <c r="K260" s="2">
        <v>46</v>
      </c>
      <c r="L260" s="2">
        <v>25.5</v>
      </c>
      <c r="M260" s="2">
        <v>43</v>
      </c>
      <c r="N260" s="2">
        <v>57.14</v>
      </c>
      <c r="O260" s="2">
        <v>58</v>
      </c>
      <c r="P260" s="2">
        <v>25.63</v>
      </c>
      <c r="Q260" s="2">
        <v>44</v>
      </c>
      <c r="R260" s="2">
        <f>SUM(F260,H260,J260,L260,N260,P260)</f>
        <v>215.07</v>
      </c>
      <c r="S260" s="3">
        <f>SUM(G260,I260,K260,M260,O260,Q260)</f>
        <v>284</v>
      </c>
      <c r="T260" s="7">
        <f>Tabelle2[[#This Row],[Robotron_Dauer]]*2+Tabelle2[[#This Row],[Schule_Dauer]]*5+Tabelle2[[#This Row],[Kletterarena_Dauer]]+Tabelle2[[#This Row],[Großeltern_Dauer]]</f>
        <v>419</v>
      </c>
    </row>
    <row r="261" spans="1:20" x14ac:dyDescent="0.2">
      <c r="A261" s="1">
        <v>217</v>
      </c>
      <c r="B261" s="2" t="s">
        <v>255</v>
      </c>
      <c r="C261" s="2">
        <v>51.152949399999997</v>
      </c>
      <c r="D261" s="2">
        <v>13.448412299999999</v>
      </c>
      <c r="E261" s="2" t="s">
        <v>19</v>
      </c>
      <c r="F261" s="2">
        <v>35.15</v>
      </c>
      <c r="G261" s="2">
        <v>49</v>
      </c>
      <c r="H261" s="2">
        <v>36.729999999999997</v>
      </c>
      <c r="I261" s="2">
        <v>43</v>
      </c>
      <c r="J261" s="2">
        <v>40.76</v>
      </c>
      <c r="K261" s="2">
        <v>45</v>
      </c>
      <c r="L261" s="2">
        <v>27.42</v>
      </c>
      <c r="M261" s="2">
        <v>46</v>
      </c>
      <c r="N261" s="2">
        <v>69.67</v>
      </c>
      <c r="O261" s="2">
        <v>62</v>
      </c>
      <c r="P261" s="2">
        <v>34.74</v>
      </c>
      <c r="Q261" s="2">
        <v>47</v>
      </c>
      <c r="R261" s="2">
        <f>SUM(F261,H261,J261,L261,N261,P261)</f>
        <v>244.47000000000003</v>
      </c>
      <c r="S261" s="3">
        <f>SUM(G261,I261,K261,M261,O261,Q261)</f>
        <v>292</v>
      </c>
      <c r="T261" s="7">
        <f>Tabelle2[[#This Row],[Robotron_Dauer]]*2+Tabelle2[[#This Row],[Schule_Dauer]]*5+Tabelle2[[#This Row],[Kletterarena_Dauer]]+Tabelle2[[#This Row],[Großeltern_Dauer]]</f>
        <v>419</v>
      </c>
    </row>
    <row r="262" spans="1:20" x14ac:dyDescent="0.2">
      <c r="A262" s="1">
        <v>136</v>
      </c>
      <c r="B262" s="2" t="s">
        <v>173</v>
      </c>
      <c r="C262" s="2">
        <v>51.219103199999999</v>
      </c>
      <c r="D262" s="2">
        <v>14.0322523</v>
      </c>
      <c r="E262" s="2" t="s">
        <v>174</v>
      </c>
      <c r="F262" s="2">
        <v>37.74</v>
      </c>
      <c r="G262" s="2">
        <v>41</v>
      </c>
      <c r="H262" s="2">
        <v>56.1</v>
      </c>
      <c r="I262" s="2">
        <v>48</v>
      </c>
      <c r="J262" s="2">
        <v>60.13</v>
      </c>
      <c r="K262" s="2">
        <v>50</v>
      </c>
      <c r="L262" s="2">
        <v>41.2</v>
      </c>
      <c r="M262" s="2">
        <v>44</v>
      </c>
      <c r="N262" s="2">
        <v>26.45</v>
      </c>
      <c r="O262" s="2">
        <v>31</v>
      </c>
      <c r="P262" s="2">
        <v>40.840000000000003</v>
      </c>
      <c r="Q262" s="2">
        <v>43</v>
      </c>
      <c r="R262" s="2">
        <f>SUM(F262,H262,J262,L262,N262,P262)</f>
        <v>262.46000000000004</v>
      </c>
      <c r="S262" s="3">
        <f>SUM(G262,I262,K262,M262,O262,Q262)</f>
        <v>257</v>
      </c>
      <c r="T262" s="7">
        <f>Tabelle2[[#This Row],[Robotron_Dauer]]*2+Tabelle2[[#This Row],[Schule_Dauer]]*5+Tabelle2[[#This Row],[Kletterarena_Dauer]]+Tabelle2[[#This Row],[Großeltern_Dauer]]</f>
        <v>421</v>
      </c>
    </row>
    <row r="263" spans="1:20" x14ac:dyDescent="0.2">
      <c r="A263" s="1">
        <v>90</v>
      </c>
      <c r="B263" s="2" t="s">
        <v>124</v>
      </c>
      <c r="C263" s="2">
        <v>51.1454235</v>
      </c>
      <c r="D263" s="2">
        <v>13.5491221</v>
      </c>
      <c r="E263" s="2" t="s">
        <v>125</v>
      </c>
      <c r="F263" s="2">
        <v>25.17</v>
      </c>
      <c r="G263" s="2">
        <v>39</v>
      </c>
      <c r="H263" s="2">
        <v>44.85</v>
      </c>
      <c r="I263" s="2">
        <v>46</v>
      </c>
      <c r="J263" s="2">
        <v>48.88</v>
      </c>
      <c r="K263" s="2">
        <v>48</v>
      </c>
      <c r="L263" s="2">
        <v>20.98</v>
      </c>
      <c r="M263" s="2">
        <v>40</v>
      </c>
      <c r="N263" s="2">
        <v>52.03</v>
      </c>
      <c r="O263" s="2">
        <v>49</v>
      </c>
      <c r="P263" s="2">
        <v>21.12</v>
      </c>
      <c r="Q263" s="2">
        <v>41</v>
      </c>
      <c r="R263" s="2">
        <f>SUM(F263,H263,J263,L263,N263,P263)</f>
        <v>213.03</v>
      </c>
      <c r="S263" s="3">
        <f>SUM(G263,I263,K263,M263,O263,Q263)</f>
        <v>263</v>
      </c>
      <c r="T263" s="7">
        <f>Tabelle2[[#This Row],[Robotron_Dauer]]*2+Tabelle2[[#This Row],[Schule_Dauer]]*5+Tabelle2[[#This Row],[Kletterarena_Dauer]]+Tabelle2[[#This Row],[Großeltern_Dauer]]</f>
        <v>421</v>
      </c>
    </row>
    <row r="264" spans="1:20" x14ac:dyDescent="0.2">
      <c r="A264" s="1">
        <v>133</v>
      </c>
      <c r="B264" s="2" t="s">
        <v>169</v>
      </c>
      <c r="C264" s="2">
        <v>51.217231400000003</v>
      </c>
      <c r="D264" s="2">
        <v>14.1171934</v>
      </c>
      <c r="E264" s="2" t="s">
        <v>136</v>
      </c>
      <c r="F264" s="2">
        <v>47.97</v>
      </c>
      <c r="G264" s="2">
        <v>42</v>
      </c>
      <c r="H264" s="2">
        <v>66.319999999999993</v>
      </c>
      <c r="I264" s="2">
        <v>48</v>
      </c>
      <c r="J264" s="2">
        <v>70.349999999999994</v>
      </c>
      <c r="K264" s="2">
        <v>50</v>
      </c>
      <c r="L264" s="2">
        <v>51.41</v>
      </c>
      <c r="M264" s="2">
        <v>44</v>
      </c>
      <c r="N264" s="2">
        <v>37.35</v>
      </c>
      <c r="O264" s="2">
        <v>33</v>
      </c>
      <c r="P264" s="2">
        <v>51.06</v>
      </c>
      <c r="Q264" s="2">
        <v>44</v>
      </c>
      <c r="R264" s="2">
        <f>SUM(F264,H264,J264,L264,N264,P264)</f>
        <v>324.45999999999998</v>
      </c>
      <c r="S264" s="3">
        <f>SUM(G264,I264,K264,M264,O264,Q264)</f>
        <v>261</v>
      </c>
      <c r="T264" s="7">
        <f>Tabelle2[[#This Row],[Robotron_Dauer]]*2+Tabelle2[[#This Row],[Schule_Dauer]]*5+Tabelle2[[#This Row],[Kletterarena_Dauer]]+Tabelle2[[#This Row],[Großeltern_Dauer]]</f>
        <v>423</v>
      </c>
    </row>
    <row r="265" spans="1:20" x14ac:dyDescent="0.2">
      <c r="A265" s="1">
        <v>134</v>
      </c>
      <c r="B265" s="2" t="s">
        <v>170</v>
      </c>
      <c r="C265" s="2">
        <v>51.210006200000002</v>
      </c>
      <c r="D265" s="2">
        <v>14.1051848</v>
      </c>
      <c r="E265" s="2" t="s">
        <v>171</v>
      </c>
      <c r="F265" s="2">
        <v>47.8</v>
      </c>
      <c r="G265" s="2">
        <v>42</v>
      </c>
      <c r="H265" s="2">
        <v>66.16</v>
      </c>
      <c r="I265" s="2">
        <v>48</v>
      </c>
      <c r="J265" s="2">
        <v>70.19</v>
      </c>
      <c r="K265" s="2">
        <v>50</v>
      </c>
      <c r="L265" s="2">
        <v>51.25</v>
      </c>
      <c r="M265" s="2">
        <v>44</v>
      </c>
      <c r="N265" s="2">
        <v>37.19</v>
      </c>
      <c r="O265" s="2">
        <v>33</v>
      </c>
      <c r="P265" s="2">
        <v>50.9</v>
      </c>
      <c r="Q265" s="2">
        <v>44</v>
      </c>
      <c r="R265" s="2">
        <f>SUM(F265,H265,J265,L265,N265,P265)</f>
        <v>323.48999999999995</v>
      </c>
      <c r="S265" s="3">
        <f>SUM(G265,I265,K265,M265,O265,Q265)</f>
        <v>261</v>
      </c>
      <c r="T265" s="7">
        <f>Tabelle2[[#This Row],[Robotron_Dauer]]*2+Tabelle2[[#This Row],[Schule_Dauer]]*5+Tabelle2[[#This Row],[Kletterarena_Dauer]]+Tabelle2[[#This Row],[Großeltern_Dauer]]</f>
        <v>423</v>
      </c>
    </row>
    <row r="266" spans="1:20" x14ac:dyDescent="0.2">
      <c r="A266" s="1">
        <v>223</v>
      </c>
      <c r="B266" s="2" t="s">
        <v>261</v>
      </c>
      <c r="C266" s="2">
        <v>51.164947400000003</v>
      </c>
      <c r="D266" s="2">
        <v>13.451507400000001</v>
      </c>
      <c r="E266" s="2" t="s">
        <v>19</v>
      </c>
      <c r="F266" s="2">
        <v>28.71</v>
      </c>
      <c r="G266" s="2">
        <v>49</v>
      </c>
      <c r="H266" s="2">
        <v>36.29</v>
      </c>
      <c r="I266" s="2">
        <v>44</v>
      </c>
      <c r="J266" s="2">
        <v>40.31</v>
      </c>
      <c r="K266" s="2">
        <v>46</v>
      </c>
      <c r="L266" s="2">
        <v>26.28</v>
      </c>
      <c r="M266" s="2">
        <v>43</v>
      </c>
      <c r="N266" s="2">
        <v>63.16</v>
      </c>
      <c r="O266" s="2">
        <v>62</v>
      </c>
      <c r="P266" s="2">
        <v>26.42</v>
      </c>
      <c r="Q266" s="2">
        <v>44</v>
      </c>
      <c r="R266" s="2">
        <f>SUM(F266,H266,J266,L266,N266,P266)</f>
        <v>221.17000000000002</v>
      </c>
      <c r="S266" s="3">
        <f>SUM(G266,I266,K266,M266,O266,Q266)</f>
        <v>288</v>
      </c>
      <c r="T266" s="7">
        <f>Tabelle2[[#This Row],[Robotron_Dauer]]*2+Tabelle2[[#This Row],[Schule_Dauer]]*5+Tabelle2[[#This Row],[Kletterarena_Dauer]]+Tabelle2[[#This Row],[Großeltern_Dauer]]</f>
        <v>423</v>
      </c>
    </row>
    <row r="267" spans="1:20" x14ac:dyDescent="0.2">
      <c r="A267" s="1">
        <v>228</v>
      </c>
      <c r="B267" s="2" t="s">
        <v>266</v>
      </c>
      <c r="C267" s="2">
        <v>51.164853999999998</v>
      </c>
      <c r="D267" s="2">
        <v>13.4707876</v>
      </c>
      <c r="E267" s="2" t="s">
        <v>19</v>
      </c>
      <c r="F267" s="2">
        <v>27.79</v>
      </c>
      <c r="G267" s="2">
        <v>50</v>
      </c>
      <c r="H267" s="2">
        <v>35.51</v>
      </c>
      <c r="I267" s="2">
        <v>44</v>
      </c>
      <c r="J267" s="2">
        <v>39.54</v>
      </c>
      <c r="K267" s="2">
        <v>46</v>
      </c>
      <c r="L267" s="2">
        <v>25.35</v>
      </c>
      <c r="M267" s="2">
        <v>45</v>
      </c>
      <c r="N267" s="2">
        <v>68.45</v>
      </c>
      <c r="O267" s="2">
        <v>63</v>
      </c>
      <c r="P267" s="2">
        <v>25.49</v>
      </c>
      <c r="Q267" s="2">
        <v>46</v>
      </c>
      <c r="R267" s="2">
        <f>SUM(F267,H267,J267,L267,N267,P267)</f>
        <v>222.13</v>
      </c>
      <c r="S267" s="3">
        <f>SUM(G267,I267,K267,M267,O267,Q267)</f>
        <v>294</v>
      </c>
      <c r="T267" s="7">
        <f>Tabelle2[[#This Row],[Robotron_Dauer]]*2+Tabelle2[[#This Row],[Schule_Dauer]]*5+Tabelle2[[#This Row],[Kletterarena_Dauer]]+Tabelle2[[#This Row],[Großeltern_Dauer]]</f>
        <v>426</v>
      </c>
    </row>
    <row r="268" spans="1:20" x14ac:dyDescent="0.2">
      <c r="A268" s="1">
        <v>219</v>
      </c>
      <c r="B268" s="2" t="s">
        <v>257</v>
      </c>
      <c r="C268" s="2">
        <v>51.171737800000002</v>
      </c>
      <c r="D268" s="2">
        <v>13.4887724</v>
      </c>
      <c r="E268" s="2" t="s">
        <v>19</v>
      </c>
      <c r="F268" s="2">
        <v>33.67</v>
      </c>
      <c r="G268" s="2">
        <v>48</v>
      </c>
      <c r="H268" s="2">
        <v>36.67</v>
      </c>
      <c r="I268" s="2">
        <v>45</v>
      </c>
      <c r="J268" s="2">
        <v>40.700000000000003</v>
      </c>
      <c r="K268" s="2">
        <v>47</v>
      </c>
      <c r="L268" s="2">
        <v>25.93</v>
      </c>
      <c r="M268" s="2">
        <v>45</v>
      </c>
      <c r="N268" s="2">
        <v>60.53</v>
      </c>
      <c r="O268" s="2">
        <v>58</v>
      </c>
      <c r="P268" s="2">
        <v>26.07</v>
      </c>
      <c r="Q268" s="2">
        <v>46</v>
      </c>
      <c r="R268" s="2">
        <f>SUM(F268,H268,J268,L268,N268,P268)</f>
        <v>223.57</v>
      </c>
      <c r="S268" s="3">
        <f>SUM(G268,I268,K268,M268,O268,Q268)</f>
        <v>289</v>
      </c>
      <c r="T268" s="7">
        <f>Tabelle2[[#This Row],[Robotron_Dauer]]*2+Tabelle2[[#This Row],[Schule_Dauer]]*5+Tabelle2[[#This Row],[Kletterarena_Dauer]]+Tabelle2[[#This Row],[Großeltern_Dauer]]</f>
        <v>428</v>
      </c>
    </row>
    <row r="269" spans="1:20" x14ac:dyDescent="0.2">
      <c r="A269" s="1">
        <v>231</v>
      </c>
      <c r="B269" s="2" t="s">
        <v>269</v>
      </c>
      <c r="C269" s="2">
        <v>51.1492912</v>
      </c>
      <c r="D269" s="2">
        <v>13.49921</v>
      </c>
      <c r="E269" s="2" t="s">
        <v>19</v>
      </c>
      <c r="F269" s="2">
        <v>30.39</v>
      </c>
      <c r="G269" s="2">
        <v>47</v>
      </c>
      <c r="H269" s="2">
        <v>37.99</v>
      </c>
      <c r="I269" s="2">
        <v>46</v>
      </c>
      <c r="J269" s="2">
        <v>42.02</v>
      </c>
      <c r="K269" s="2">
        <v>48</v>
      </c>
      <c r="L269" s="2">
        <v>23.11</v>
      </c>
      <c r="M269" s="2">
        <v>43</v>
      </c>
      <c r="N269" s="2">
        <v>57.24</v>
      </c>
      <c r="O269" s="2">
        <v>56</v>
      </c>
      <c r="P269" s="2">
        <v>23.25</v>
      </c>
      <c r="Q269" s="2">
        <v>44</v>
      </c>
      <c r="R269" s="2">
        <f>SUM(F269,H269,J269,L269,N269,P269)</f>
        <v>214</v>
      </c>
      <c r="S269" s="3">
        <f>SUM(G269,I269,K269,M269,O269,Q269)</f>
        <v>284</v>
      </c>
      <c r="T269" s="7">
        <f>Tabelle2[[#This Row],[Robotron_Dauer]]*2+Tabelle2[[#This Row],[Schule_Dauer]]*5+Tabelle2[[#This Row],[Kletterarena_Dauer]]+Tabelle2[[#This Row],[Großeltern_Dauer]]</f>
        <v>431</v>
      </c>
    </row>
    <row r="270" spans="1:20" x14ac:dyDescent="0.2">
      <c r="A270" s="1">
        <v>221</v>
      </c>
      <c r="B270" s="2" t="s">
        <v>259</v>
      </c>
      <c r="C270" s="2">
        <v>51.177126000000001</v>
      </c>
      <c r="D270" s="2">
        <v>13.4971196</v>
      </c>
      <c r="E270" s="2" t="s">
        <v>19</v>
      </c>
      <c r="F270" s="2">
        <v>31.46</v>
      </c>
      <c r="G270" s="2">
        <v>43</v>
      </c>
      <c r="H270" s="2">
        <v>37.840000000000003</v>
      </c>
      <c r="I270" s="2">
        <v>47</v>
      </c>
      <c r="J270" s="2">
        <v>41.86</v>
      </c>
      <c r="K270" s="2">
        <v>49</v>
      </c>
      <c r="L270" s="2">
        <v>36.229999999999997</v>
      </c>
      <c r="M270" s="2">
        <v>46</v>
      </c>
      <c r="N270" s="2">
        <v>58.31</v>
      </c>
      <c r="O270" s="2">
        <v>52</v>
      </c>
      <c r="P270" s="2">
        <v>31.5</v>
      </c>
      <c r="Q270" s="2">
        <v>45</v>
      </c>
      <c r="R270" s="2">
        <f>SUM(F270,H270,J270,L270,N270,P270)</f>
        <v>237.20000000000002</v>
      </c>
      <c r="S270" s="3">
        <f>SUM(G270,I270,K270,M270,O270,Q270)</f>
        <v>282</v>
      </c>
      <c r="T270" s="7">
        <f>Tabelle2[[#This Row],[Robotron_Dauer]]*2+Tabelle2[[#This Row],[Schule_Dauer]]*5+Tabelle2[[#This Row],[Kletterarena_Dauer]]+Tabelle2[[#This Row],[Großeltern_Dauer]]</f>
        <v>437</v>
      </c>
    </row>
    <row r="271" spans="1:20" x14ac:dyDescent="0.2">
      <c r="A271" s="1">
        <v>216</v>
      </c>
      <c r="B271" s="2" t="s">
        <v>73</v>
      </c>
      <c r="C271" s="2">
        <v>51.152789300000002</v>
      </c>
      <c r="D271" s="2">
        <v>13.5132859</v>
      </c>
      <c r="E271" s="2" t="s">
        <v>19</v>
      </c>
      <c r="F271" s="2">
        <v>28.56</v>
      </c>
      <c r="G271" s="2">
        <v>45</v>
      </c>
      <c r="H271" s="2">
        <v>38.35</v>
      </c>
      <c r="I271" s="2">
        <v>47</v>
      </c>
      <c r="J271" s="2">
        <v>42.38</v>
      </c>
      <c r="K271" s="2">
        <v>49</v>
      </c>
      <c r="L271" s="2">
        <v>24.19</v>
      </c>
      <c r="M271" s="2">
        <v>45</v>
      </c>
      <c r="N271" s="2">
        <v>55.41</v>
      </c>
      <c r="O271" s="2">
        <v>55</v>
      </c>
      <c r="P271" s="2">
        <v>24.33</v>
      </c>
      <c r="Q271" s="2">
        <v>46</v>
      </c>
      <c r="R271" s="2">
        <f>SUM(F271,H271,J271,L271,N271,P271)</f>
        <v>213.21999999999997</v>
      </c>
      <c r="S271" s="3">
        <f>SUM(G271,I271,K271,M271,O271,Q271)</f>
        <v>287</v>
      </c>
      <c r="T271" s="7">
        <f>Tabelle2[[#This Row],[Robotron_Dauer]]*2+Tabelle2[[#This Row],[Schule_Dauer]]*5+Tabelle2[[#This Row],[Kletterarena_Dauer]]+Tabelle2[[#This Row],[Großeltern_Dauer]]</f>
        <v>439</v>
      </c>
    </row>
    <row r="272" spans="1:20" x14ac:dyDescent="0.2">
      <c r="A272" s="1">
        <v>140</v>
      </c>
      <c r="B272" s="2" t="s">
        <v>178</v>
      </c>
      <c r="C272" s="2">
        <v>51.232691299999999</v>
      </c>
      <c r="D272" s="2">
        <v>14.1162887</v>
      </c>
      <c r="E272" s="2" t="s">
        <v>171</v>
      </c>
      <c r="F272" s="2">
        <v>48.92</v>
      </c>
      <c r="G272" s="2">
        <v>44</v>
      </c>
      <c r="H272" s="2">
        <v>67.27</v>
      </c>
      <c r="I272" s="2">
        <v>50</v>
      </c>
      <c r="J272" s="2">
        <v>71.3</v>
      </c>
      <c r="K272" s="2">
        <v>52</v>
      </c>
      <c r="L272" s="2">
        <v>52.37</v>
      </c>
      <c r="M272" s="2">
        <v>46</v>
      </c>
      <c r="N272" s="2">
        <v>38.31</v>
      </c>
      <c r="O272" s="2">
        <v>35</v>
      </c>
      <c r="P272" s="2">
        <v>52.02</v>
      </c>
      <c r="Q272" s="2">
        <v>45</v>
      </c>
      <c r="R272" s="2">
        <f>SUM(F272,H272,J272,L272,N272,P272)</f>
        <v>330.19</v>
      </c>
      <c r="S272" s="3">
        <f>SUM(G272,I272,K272,M272,O272,Q272)</f>
        <v>272</v>
      </c>
      <c r="T272" s="7">
        <f>Tabelle2[[#This Row],[Robotron_Dauer]]*2+Tabelle2[[#This Row],[Schule_Dauer]]*5+Tabelle2[[#This Row],[Kletterarena_Dauer]]+Tabelle2[[#This Row],[Großeltern_Dauer]]</f>
        <v>441</v>
      </c>
    </row>
    <row r="273" spans="1:20" x14ac:dyDescent="0.2">
      <c r="A273" s="1">
        <v>135</v>
      </c>
      <c r="B273" s="2" t="s">
        <v>172</v>
      </c>
      <c r="C273" s="2">
        <v>51.2389546</v>
      </c>
      <c r="D273" s="2">
        <v>14.0391546</v>
      </c>
      <c r="E273" s="2" t="s">
        <v>119</v>
      </c>
      <c r="F273" s="2">
        <v>40.47</v>
      </c>
      <c r="G273" s="2">
        <v>44</v>
      </c>
      <c r="H273" s="2">
        <v>58.83</v>
      </c>
      <c r="I273" s="2">
        <v>50</v>
      </c>
      <c r="J273" s="2">
        <v>62.85</v>
      </c>
      <c r="K273" s="2">
        <v>52</v>
      </c>
      <c r="L273" s="2">
        <v>43.92</v>
      </c>
      <c r="M273" s="2">
        <v>47</v>
      </c>
      <c r="N273" s="2">
        <v>29.18</v>
      </c>
      <c r="O273" s="2">
        <v>34</v>
      </c>
      <c r="P273" s="2">
        <v>43.57</v>
      </c>
      <c r="Q273" s="2">
        <v>46</v>
      </c>
      <c r="R273" s="2">
        <f>SUM(F273,H273,J273,L273,N273,P273)</f>
        <v>278.82</v>
      </c>
      <c r="S273" s="3">
        <f>SUM(G273,I273,K273,M273,O273,Q273)</f>
        <v>273</v>
      </c>
      <c r="T273" s="7">
        <f>Tabelle2[[#This Row],[Robotron_Dauer]]*2+Tabelle2[[#This Row],[Schule_Dauer]]*5+Tabelle2[[#This Row],[Kletterarena_Dauer]]+Tabelle2[[#This Row],[Großeltern_Dauer]]</f>
        <v>441</v>
      </c>
    </row>
    <row r="274" spans="1:20" x14ac:dyDescent="0.2">
      <c r="A274" s="1">
        <v>85</v>
      </c>
      <c r="B274" s="2" t="s">
        <v>117</v>
      </c>
      <c r="C274" s="2">
        <v>51.263746699999999</v>
      </c>
      <c r="D274" s="2">
        <v>13.9028337</v>
      </c>
      <c r="E274" s="2" t="s">
        <v>19</v>
      </c>
      <c r="F274" s="2">
        <v>30.98</v>
      </c>
      <c r="G274" s="2">
        <v>43</v>
      </c>
      <c r="H274" s="2">
        <v>49.33</v>
      </c>
      <c r="I274" s="2">
        <v>49</v>
      </c>
      <c r="J274" s="2">
        <v>53.36</v>
      </c>
      <c r="K274" s="2">
        <v>51</v>
      </c>
      <c r="L274" s="2">
        <v>34.43</v>
      </c>
      <c r="M274" s="2">
        <v>45</v>
      </c>
      <c r="N274" s="2">
        <v>35.6</v>
      </c>
      <c r="O274" s="2">
        <v>43</v>
      </c>
      <c r="P274" s="2">
        <v>34.08</v>
      </c>
      <c r="Q274" s="2">
        <v>45</v>
      </c>
      <c r="R274" s="2">
        <f>SUM(F274,H274,J274,L274,N274,P274)</f>
        <v>237.78000000000003</v>
      </c>
      <c r="S274" s="3">
        <f>SUM(G274,I274,K274,M274,O274,Q274)</f>
        <v>276</v>
      </c>
      <c r="T274" s="7">
        <f>Tabelle2[[#This Row],[Robotron_Dauer]]*2+Tabelle2[[#This Row],[Schule_Dauer]]*5+Tabelle2[[#This Row],[Kletterarena_Dauer]]+Tabelle2[[#This Row],[Großeltern_Dauer]]</f>
        <v>441</v>
      </c>
    </row>
    <row r="275" spans="1:20" x14ac:dyDescent="0.2">
      <c r="A275" s="1">
        <v>232</v>
      </c>
      <c r="B275" s="2" t="s">
        <v>270</v>
      </c>
      <c r="C275" s="2">
        <v>51.174079300000002</v>
      </c>
      <c r="D275" s="2">
        <v>13.4557629</v>
      </c>
      <c r="E275" s="2" t="s">
        <v>19</v>
      </c>
      <c r="F275" s="2">
        <v>29.15</v>
      </c>
      <c r="G275" s="2">
        <v>51</v>
      </c>
      <c r="H275" s="2">
        <v>37.56</v>
      </c>
      <c r="I275" s="2">
        <v>46</v>
      </c>
      <c r="J275" s="2">
        <v>41.59</v>
      </c>
      <c r="K275" s="2">
        <v>48</v>
      </c>
      <c r="L275" s="2">
        <v>26.72</v>
      </c>
      <c r="M275" s="2">
        <v>45</v>
      </c>
      <c r="N275" s="2">
        <v>63.49</v>
      </c>
      <c r="O275" s="2">
        <v>64</v>
      </c>
      <c r="P275" s="2">
        <v>26.86</v>
      </c>
      <c r="Q275" s="2">
        <v>46</v>
      </c>
      <c r="R275" s="2">
        <f>SUM(F275,H275,J275,L275,N275,P275)</f>
        <v>225.37</v>
      </c>
      <c r="S275" s="3">
        <f>SUM(G275,I275,K275,M275,O275,Q275)</f>
        <v>300</v>
      </c>
      <c r="T275" s="7">
        <f>Tabelle2[[#This Row],[Robotron_Dauer]]*2+Tabelle2[[#This Row],[Schule_Dauer]]*5+Tabelle2[[#This Row],[Kletterarena_Dauer]]+Tabelle2[[#This Row],[Großeltern_Dauer]]</f>
        <v>441</v>
      </c>
    </row>
    <row r="276" spans="1:20" x14ac:dyDescent="0.2">
      <c r="A276" s="1">
        <v>259</v>
      </c>
      <c r="B276" s="2" t="s">
        <v>300</v>
      </c>
      <c r="C276" s="2">
        <v>51.172183799999999</v>
      </c>
      <c r="D276" s="2">
        <v>13.458525399999999</v>
      </c>
      <c r="E276" s="2" t="s">
        <v>19</v>
      </c>
      <c r="F276" s="2">
        <v>28.23</v>
      </c>
      <c r="G276" s="2">
        <v>51</v>
      </c>
      <c r="H276" s="2">
        <v>36.64</v>
      </c>
      <c r="I276" s="2">
        <v>46</v>
      </c>
      <c r="J276" s="2">
        <v>40.67</v>
      </c>
      <c r="K276" s="2">
        <v>48</v>
      </c>
      <c r="L276" s="2">
        <v>25.8</v>
      </c>
      <c r="M276" s="2">
        <v>45</v>
      </c>
      <c r="N276" s="2">
        <v>63.59</v>
      </c>
      <c r="O276" s="2">
        <v>64</v>
      </c>
      <c r="P276" s="2">
        <v>25.94</v>
      </c>
      <c r="Q276" s="2">
        <v>46</v>
      </c>
      <c r="R276" s="2">
        <f>SUM(F276,H276,J276,L276,N276,P276)</f>
        <v>220.87</v>
      </c>
      <c r="S276" s="3">
        <f>SUM(G276,I276,K276,M276,O276,Q276)</f>
        <v>300</v>
      </c>
      <c r="T276" s="7">
        <f>Tabelle2[[#This Row],[Robotron_Dauer]]*2+Tabelle2[[#This Row],[Schule_Dauer]]*5+Tabelle2[[#This Row],[Kletterarena_Dauer]]+Tabelle2[[#This Row],[Großeltern_Dauer]]</f>
        <v>441</v>
      </c>
    </row>
    <row r="277" spans="1:20" x14ac:dyDescent="0.2">
      <c r="A277" s="1">
        <v>272</v>
      </c>
      <c r="B277" s="2" t="s">
        <v>313</v>
      </c>
      <c r="C277" s="2">
        <v>51.265700099999997</v>
      </c>
      <c r="D277" s="2">
        <v>13.889241</v>
      </c>
      <c r="E277" s="2" t="s">
        <v>19</v>
      </c>
      <c r="F277" s="2">
        <v>31.06</v>
      </c>
      <c r="G277" s="2">
        <v>43</v>
      </c>
      <c r="H277" s="2">
        <v>49.42</v>
      </c>
      <c r="I277" s="2">
        <v>49</v>
      </c>
      <c r="J277" s="2">
        <v>53.44</v>
      </c>
      <c r="K277" s="2">
        <v>51</v>
      </c>
      <c r="L277" s="2">
        <v>34.51</v>
      </c>
      <c r="M277" s="2">
        <v>45</v>
      </c>
      <c r="N277" s="2">
        <v>40.24</v>
      </c>
      <c r="O277" s="2">
        <v>44</v>
      </c>
      <c r="P277" s="2">
        <v>34.159999999999997</v>
      </c>
      <c r="Q277" s="2">
        <v>45</v>
      </c>
      <c r="R277" s="2">
        <f>SUM(F277,H277,J277,L277,N277,P277)</f>
        <v>242.83</v>
      </c>
      <c r="S277" s="3">
        <f>SUM(G277,I277,K277,M277,O277,Q277)</f>
        <v>277</v>
      </c>
      <c r="T277" s="7">
        <f>Tabelle2[[#This Row],[Robotron_Dauer]]*2+Tabelle2[[#This Row],[Schule_Dauer]]*5+Tabelle2[[#This Row],[Kletterarena_Dauer]]+Tabelle2[[#This Row],[Großeltern_Dauer]]</f>
        <v>442</v>
      </c>
    </row>
    <row r="278" spans="1:20" x14ac:dyDescent="0.2">
      <c r="A278" s="1">
        <v>224</v>
      </c>
      <c r="B278" s="2" t="s">
        <v>262</v>
      </c>
      <c r="C278" s="2">
        <v>51.152236899999998</v>
      </c>
      <c r="D278" s="2">
        <v>13.4935381</v>
      </c>
      <c r="E278" s="2" t="s">
        <v>19</v>
      </c>
      <c r="F278" s="2">
        <v>30.94</v>
      </c>
      <c r="G278" s="2">
        <v>49</v>
      </c>
      <c r="H278" s="2">
        <v>37.770000000000003</v>
      </c>
      <c r="I278" s="2">
        <v>47</v>
      </c>
      <c r="J278" s="2">
        <v>41.8</v>
      </c>
      <c r="K278" s="2">
        <v>49</v>
      </c>
      <c r="L278" s="2">
        <v>23.65</v>
      </c>
      <c r="M278" s="2">
        <v>45</v>
      </c>
      <c r="N278" s="2">
        <v>57.79</v>
      </c>
      <c r="O278" s="2">
        <v>58</v>
      </c>
      <c r="P278" s="2">
        <v>23.79</v>
      </c>
      <c r="Q278" s="2">
        <v>46</v>
      </c>
      <c r="R278" s="2">
        <f>SUM(F278,H278,J278,L278,N278,P278)</f>
        <v>215.73999999999998</v>
      </c>
      <c r="S278" s="3">
        <f>SUM(G278,I278,K278,M278,O278,Q278)</f>
        <v>294</v>
      </c>
      <c r="T278" s="7">
        <f>Tabelle2[[#This Row],[Robotron_Dauer]]*2+Tabelle2[[#This Row],[Schule_Dauer]]*5+Tabelle2[[#This Row],[Kletterarena_Dauer]]+Tabelle2[[#This Row],[Großeltern_Dauer]]</f>
        <v>442</v>
      </c>
    </row>
    <row r="279" spans="1:20" x14ac:dyDescent="0.2">
      <c r="A279" s="1">
        <v>132</v>
      </c>
      <c r="B279" s="2" t="s">
        <v>168</v>
      </c>
      <c r="C279" s="2">
        <v>51.212285299999998</v>
      </c>
      <c r="D279" s="2">
        <v>14.075237100000001</v>
      </c>
      <c r="E279" s="2" t="s">
        <v>119</v>
      </c>
      <c r="F279" s="2">
        <v>43.33</v>
      </c>
      <c r="G279" s="2">
        <v>44</v>
      </c>
      <c r="H279" s="2">
        <v>61.69</v>
      </c>
      <c r="I279" s="2">
        <v>51</v>
      </c>
      <c r="J279" s="2">
        <v>65.709999999999994</v>
      </c>
      <c r="K279" s="2">
        <v>52</v>
      </c>
      <c r="L279" s="2">
        <v>46.78</v>
      </c>
      <c r="M279" s="2">
        <v>47</v>
      </c>
      <c r="N279" s="2">
        <v>29.23</v>
      </c>
      <c r="O279" s="2">
        <v>35</v>
      </c>
      <c r="P279" s="2">
        <v>46.43</v>
      </c>
      <c r="Q279" s="2">
        <v>46</v>
      </c>
      <c r="R279" s="2">
        <f>SUM(F279,H279,J279,L279,N279,P279)</f>
        <v>293.16999999999996</v>
      </c>
      <c r="S279" s="3">
        <f>SUM(G279,I279,K279,M279,O279,Q279)</f>
        <v>275</v>
      </c>
      <c r="T279" s="7">
        <f>Tabelle2[[#This Row],[Robotron_Dauer]]*2+Tabelle2[[#This Row],[Schule_Dauer]]*5+Tabelle2[[#This Row],[Kletterarena_Dauer]]+Tabelle2[[#This Row],[Großeltern_Dauer]]</f>
        <v>444</v>
      </c>
    </row>
    <row r="280" spans="1:20" x14ac:dyDescent="0.2">
      <c r="A280" s="1">
        <v>86</v>
      </c>
      <c r="B280" s="2" t="s">
        <v>118</v>
      </c>
      <c r="C280" s="2">
        <v>51.244033999999999</v>
      </c>
      <c r="D280" s="2">
        <v>13.980042600000001</v>
      </c>
      <c r="E280" s="2" t="s">
        <v>119</v>
      </c>
      <c r="F280" s="2">
        <v>40.92</v>
      </c>
      <c r="G280" s="2">
        <v>45</v>
      </c>
      <c r="H280" s="2">
        <v>59.27</v>
      </c>
      <c r="I280" s="2">
        <v>52</v>
      </c>
      <c r="J280" s="2">
        <v>63.3</v>
      </c>
      <c r="K280" s="2">
        <v>53</v>
      </c>
      <c r="L280" s="2">
        <v>44.37</v>
      </c>
      <c r="M280" s="2">
        <v>48</v>
      </c>
      <c r="N280" s="2">
        <v>29.62</v>
      </c>
      <c r="O280" s="2">
        <v>35</v>
      </c>
      <c r="P280" s="2">
        <v>44.02</v>
      </c>
      <c r="Q280" s="2">
        <v>47</v>
      </c>
      <c r="R280" s="2">
        <f>SUM(F280,H280,J280,L280,N280,P280)</f>
        <v>281.5</v>
      </c>
      <c r="S280" s="3">
        <f>SUM(G280,I280,K280,M280,O280,Q280)</f>
        <v>280</v>
      </c>
      <c r="T280" s="7">
        <f>Tabelle2[[#This Row],[Robotron_Dauer]]*2+Tabelle2[[#This Row],[Schule_Dauer]]*5+Tabelle2[[#This Row],[Kletterarena_Dauer]]+Tabelle2[[#This Row],[Großeltern_Dauer]]</f>
        <v>452</v>
      </c>
    </row>
    <row r="281" spans="1:20" x14ac:dyDescent="0.2">
      <c r="A281" s="1">
        <v>11</v>
      </c>
      <c r="B281" s="2" t="s">
        <v>31</v>
      </c>
      <c r="C281" s="2">
        <v>50.918090999999997</v>
      </c>
      <c r="D281" s="2">
        <v>14.153401799999999</v>
      </c>
      <c r="E281" s="2" t="s">
        <v>19</v>
      </c>
      <c r="F281" s="2">
        <v>38.54</v>
      </c>
      <c r="G281" s="2">
        <v>63</v>
      </c>
      <c r="H281" s="2">
        <v>46.73</v>
      </c>
      <c r="I281" s="2">
        <v>52</v>
      </c>
      <c r="J281" s="2">
        <v>40.47</v>
      </c>
      <c r="K281" s="2">
        <v>50</v>
      </c>
      <c r="L281" s="2">
        <v>49.05</v>
      </c>
      <c r="M281" s="2">
        <v>59</v>
      </c>
      <c r="N281" s="2">
        <v>29.54</v>
      </c>
      <c r="O281" s="2">
        <v>47</v>
      </c>
      <c r="P281" s="2">
        <v>50.21</v>
      </c>
      <c r="Q281" s="2">
        <v>61</v>
      </c>
      <c r="R281" s="2">
        <f>SUM(F281,H281,J281,L281,N281,P281)</f>
        <v>254.54</v>
      </c>
      <c r="S281" s="3">
        <f>SUM(G281,I281,K281,M281,O281,Q281)</f>
        <v>332</v>
      </c>
      <c r="T281" s="7">
        <f>Tabelle2[[#This Row],[Robotron_Dauer]]*2+Tabelle2[[#This Row],[Schule_Dauer]]*5+Tabelle2[[#This Row],[Kletterarena_Dauer]]+Tabelle2[[#This Row],[Großeltern_Dauer]]</f>
        <v>460</v>
      </c>
    </row>
    <row r="282" spans="1:20" x14ac:dyDescent="0.2">
      <c r="A282" s="1">
        <v>91</v>
      </c>
      <c r="B282" s="2" t="s">
        <v>126</v>
      </c>
      <c r="C282" s="2">
        <v>51.277360999999999</v>
      </c>
      <c r="D282" s="2">
        <v>13.559469999999999</v>
      </c>
      <c r="E282" s="2" t="s">
        <v>127</v>
      </c>
      <c r="F282" s="2">
        <v>36.909999999999997</v>
      </c>
      <c r="G282" s="2">
        <v>44</v>
      </c>
      <c r="H282" s="2">
        <v>55.27</v>
      </c>
      <c r="I282" s="2">
        <v>51</v>
      </c>
      <c r="J282" s="2">
        <v>59.3</v>
      </c>
      <c r="K282" s="2">
        <v>52</v>
      </c>
      <c r="L282" s="2">
        <v>40.369999999999997</v>
      </c>
      <c r="M282" s="2">
        <v>47</v>
      </c>
      <c r="N282" s="2">
        <v>60.21</v>
      </c>
      <c r="O282" s="2">
        <v>52</v>
      </c>
      <c r="P282" s="2">
        <v>40.01</v>
      </c>
      <c r="Q282" s="2">
        <v>46</v>
      </c>
      <c r="R282" s="2">
        <f>SUM(F282,H282,J282,L282,N282,P282)</f>
        <v>292.07000000000005</v>
      </c>
      <c r="S282" s="3">
        <f>SUM(G282,I282,K282,M282,O282,Q282)</f>
        <v>292</v>
      </c>
      <c r="T282" s="7">
        <f>Tabelle2[[#This Row],[Robotron_Dauer]]*2+Tabelle2[[#This Row],[Schule_Dauer]]*5+Tabelle2[[#This Row],[Kletterarena_Dauer]]+Tabelle2[[#This Row],[Großeltern_Dauer]]</f>
        <v>461</v>
      </c>
    </row>
    <row r="283" spans="1:20" x14ac:dyDescent="0.2">
      <c r="A283" s="1">
        <v>236</v>
      </c>
      <c r="B283" s="2" t="s">
        <v>274</v>
      </c>
      <c r="C283" s="2">
        <v>50.931162</v>
      </c>
      <c r="D283" s="2">
        <v>14.114795600000001</v>
      </c>
      <c r="E283" s="2" t="s">
        <v>19</v>
      </c>
      <c r="F283" s="2">
        <v>38.270000000000003</v>
      </c>
      <c r="G283" s="2">
        <v>63</v>
      </c>
      <c r="H283" s="2">
        <v>46.45</v>
      </c>
      <c r="I283" s="2">
        <v>53</v>
      </c>
      <c r="J283" s="2">
        <v>40.200000000000003</v>
      </c>
      <c r="K283" s="2">
        <v>50</v>
      </c>
      <c r="L283" s="2">
        <v>48.78</v>
      </c>
      <c r="M283" s="2">
        <v>59</v>
      </c>
      <c r="N283" s="2">
        <v>29.27</v>
      </c>
      <c r="O283" s="2">
        <v>48</v>
      </c>
      <c r="P283" s="2">
        <v>49.94</v>
      </c>
      <c r="Q283" s="2">
        <v>61</v>
      </c>
      <c r="R283" s="2">
        <f>SUM(F283,H283,J283,L283,N283,P283)</f>
        <v>252.91</v>
      </c>
      <c r="S283" s="3">
        <f>SUM(G283,I283,K283,M283,O283,Q283)</f>
        <v>334</v>
      </c>
      <c r="T283" s="7">
        <f>Tabelle2[[#This Row],[Robotron_Dauer]]*2+Tabelle2[[#This Row],[Schule_Dauer]]*5+Tabelle2[[#This Row],[Kletterarena_Dauer]]+Tabelle2[[#This Row],[Großeltern_Dauer]]</f>
        <v>463</v>
      </c>
    </row>
    <row r="284" spans="1:20" x14ac:dyDescent="0.2">
      <c r="A284" s="1">
        <v>150</v>
      </c>
      <c r="B284" s="2" t="s">
        <v>187</v>
      </c>
      <c r="C284" s="2">
        <v>51.181757400000002</v>
      </c>
      <c r="D284" s="2">
        <v>13.471464900000001</v>
      </c>
      <c r="E284" s="2" t="s">
        <v>188</v>
      </c>
      <c r="F284" s="2">
        <v>33.630000000000003</v>
      </c>
      <c r="G284" s="2">
        <v>48</v>
      </c>
      <c r="H284" s="2">
        <v>38.67</v>
      </c>
      <c r="I284" s="2">
        <v>50</v>
      </c>
      <c r="J284" s="2">
        <v>42.7</v>
      </c>
      <c r="K284" s="2">
        <v>52</v>
      </c>
      <c r="L284" s="2">
        <v>27.92</v>
      </c>
      <c r="M284" s="2">
        <v>50</v>
      </c>
      <c r="N284" s="2">
        <v>60.49</v>
      </c>
      <c r="O284" s="2">
        <v>58</v>
      </c>
      <c r="P284" s="2">
        <v>33.67</v>
      </c>
      <c r="Q284" s="2">
        <v>50</v>
      </c>
      <c r="R284" s="2">
        <f>SUM(F284,H284,J284,L284,N284,P284)</f>
        <v>237.08000000000004</v>
      </c>
      <c r="S284" s="3">
        <f>SUM(G284,I284,K284,M284,O284,Q284)</f>
        <v>308</v>
      </c>
      <c r="T284" s="7">
        <f>Tabelle2[[#This Row],[Robotron_Dauer]]*2+Tabelle2[[#This Row],[Schule_Dauer]]*5+Tabelle2[[#This Row],[Kletterarena_Dauer]]+Tabelle2[[#This Row],[Großeltern_Dauer]]</f>
        <v>468</v>
      </c>
    </row>
    <row r="285" spans="1:20" x14ac:dyDescent="0.2">
      <c r="A285" s="1">
        <v>160</v>
      </c>
      <c r="B285" s="2" t="s">
        <v>198</v>
      </c>
      <c r="C285" s="2">
        <v>51.182858000000003</v>
      </c>
      <c r="D285" s="2">
        <v>13.4632389</v>
      </c>
      <c r="E285" s="2" t="s">
        <v>188</v>
      </c>
      <c r="F285" s="2">
        <v>34.380000000000003</v>
      </c>
      <c r="G285" s="2">
        <v>49</v>
      </c>
      <c r="H285" s="2">
        <v>38.57</v>
      </c>
      <c r="I285" s="2">
        <v>50</v>
      </c>
      <c r="J285" s="2">
        <v>42.6</v>
      </c>
      <c r="K285" s="2">
        <v>52</v>
      </c>
      <c r="L285" s="2">
        <v>27.82</v>
      </c>
      <c r="M285" s="2">
        <v>50</v>
      </c>
      <c r="N285" s="2">
        <v>61.24</v>
      </c>
      <c r="O285" s="2">
        <v>59</v>
      </c>
      <c r="P285" s="2">
        <v>27.96</v>
      </c>
      <c r="Q285" s="2">
        <v>51</v>
      </c>
      <c r="R285" s="2">
        <f>SUM(F285,H285,J285,L285,N285,P285)</f>
        <v>232.57000000000002</v>
      </c>
      <c r="S285" s="3">
        <f>SUM(G285,I285,K285,M285,O285,Q285)</f>
        <v>311</v>
      </c>
      <c r="T285" s="7">
        <f>Tabelle2[[#This Row],[Robotron_Dauer]]*2+Tabelle2[[#This Row],[Schule_Dauer]]*5+Tabelle2[[#This Row],[Kletterarena_Dauer]]+Tabelle2[[#This Row],[Großeltern_Dauer]]</f>
        <v>469</v>
      </c>
    </row>
    <row r="286" spans="1:20" x14ac:dyDescent="0.2">
      <c r="A286" s="1">
        <v>215</v>
      </c>
      <c r="B286" s="2" t="s">
        <v>254</v>
      </c>
      <c r="C286" s="2">
        <v>51.178788400000002</v>
      </c>
      <c r="D286" s="2">
        <v>13.4761673</v>
      </c>
      <c r="E286" s="2" t="s">
        <v>19</v>
      </c>
      <c r="F286" s="2">
        <v>33.35</v>
      </c>
      <c r="G286" s="2">
        <v>47</v>
      </c>
      <c r="H286" s="2">
        <v>39.49</v>
      </c>
      <c r="I286" s="2">
        <v>51</v>
      </c>
      <c r="J286" s="2">
        <v>43.51</v>
      </c>
      <c r="K286" s="2">
        <v>53</v>
      </c>
      <c r="L286" s="2">
        <v>38.130000000000003</v>
      </c>
      <c r="M286" s="2">
        <v>50</v>
      </c>
      <c r="N286" s="2">
        <v>60.21</v>
      </c>
      <c r="O286" s="2">
        <v>57</v>
      </c>
      <c r="P286" s="2">
        <v>33.39</v>
      </c>
      <c r="Q286" s="2">
        <v>49</v>
      </c>
      <c r="R286" s="2">
        <f>SUM(F286,H286,J286,L286,N286,P286)</f>
        <v>248.07999999999998</v>
      </c>
      <c r="S286" s="3">
        <f>SUM(G286,I286,K286,M286,O286,Q286)</f>
        <v>307</v>
      </c>
      <c r="T286" s="7">
        <f>Tabelle2[[#This Row],[Robotron_Dauer]]*2+Tabelle2[[#This Row],[Schule_Dauer]]*5+Tabelle2[[#This Row],[Kletterarena_Dauer]]+Tabelle2[[#This Row],[Großeltern_Dauer]]</f>
        <v>474</v>
      </c>
    </row>
    <row r="287" spans="1:20" x14ac:dyDescent="0.2">
      <c r="A287" s="1">
        <v>121</v>
      </c>
      <c r="B287" s="2" t="s">
        <v>154</v>
      </c>
      <c r="C287" s="2">
        <v>51.2450926</v>
      </c>
      <c r="D287" s="2">
        <v>14.014897700000001</v>
      </c>
      <c r="E287" s="2" t="s">
        <v>119</v>
      </c>
      <c r="F287" s="2">
        <v>42.64</v>
      </c>
      <c r="G287" s="2">
        <v>48</v>
      </c>
      <c r="H287" s="2">
        <v>60.99</v>
      </c>
      <c r="I287" s="2">
        <v>54</v>
      </c>
      <c r="J287" s="2">
        <v>65.02</v>
      </c>
      <c r="K287" s="2">
        <v>56</v>
      </c>
      <c r="L287" s="2">
        <v>46.09</v>
      </c>
      <c r="M287" s="2">
        <v>50</v>
      </c>
      <c r="N287" s="2">
        <v>31.34</v>
      </c>
      <c r="O287" s="2">
        <v>38</v>
      </c>
      <c r="P287" s="2">
        <v>45.73</v>
      </c>
      <c r="Q287" s="2">
        <v>50</v>
      </c>
      <c r="R287" s="2">
        <f>SUM(F287,H287,J287,L287,N287,P287)</f>
        <v>291.81</v>
      </c>
      <c r="S287" s="3">
        <f>SUM(G287,I287,K287,M287,O287,Q287)</f>
        <v>296</v>
      </c>
      <c r="T287" s="7">
        <f>Tabelle2[[#This Row],[Robotron_Dauer]]*2+Tabelle2[[#This Row],[Schule_Dauer]]*5+Tabelle2[[#This Row],[Kletterarena_Dauer]]+Tabelle2[[#This Row],[Großeltern_Dauer]]</f>
        <v>476</v>
      </c>
    </row>
    <row r="288" spans="1:20" x14ac:dyDescent="0.2">
      <c r="A288" s="1">
        <v>267</v>
      </c>
      <c r="B288" s="2" t="s">
        <v>308</v>
      </c>
      <c r="C288" s="2">
        <v>51.280625000000001</v>
      </c>
      <c r="D288" s="2">
        <v>13.5298034</v>
      </c>
      <c r="E288" s="2" t="s">
        <v>19</v>
      </c>
      <c r="F288" s="2">
        <v>34.67</v>
      </c>
      <c r="G288" s="2">
        <v>47</v>
      </c>
      <c r="H288" s="2">
        <v>54.35</v>
      </c>
      <c r="I288" s="2">
        <v>53</v>
      </c>
      <c r="J288" s="2">
        <v>58.37</v>
      </c>
      <c r="K288" s="2">
        <v>55</v>
      </c>
      <c r="L288" s="2">
        <v>39.44</v>
      </c>
      <c r="M288" s="2">
        <v>49</v>
      </c>
      <c r="N288" s="2">
        <v>61.52</v>
      </c>
      <c r="O288" s="2">
        <v>56</v>
      </c>
      <c r="P288" s="2">
        <v>34.700000000000003</v>
      </c>
      <c r="Q288" s="2">
        <v>49</v>
      </c>
      <c r="R288" s="2">
        <f>SUM(F288,H288,J288,L288,N288,P288)</f>
        <v>283.05</v>
      </c>
      <c r="S288" s="3">
        <f>SUM(G288,I288,K288,M288,O288,Q288)</f>
        <v>309</v>
      </c>
      <c r="T288" s="7">
        <f>Tabelle2[[#This Row],[Robotron_Dauer]]*2+Tabelle2[[#This Row],[Schule_Dauer]]*5+Tabelle2[[#This Row],[Kletterarena_Dauer]]+Tabelle2[[#This Row],[Großeltern_Dauer]]</f>
        <v>486</v>
      </c>
    </row>
    <row r="289" spans="1:20" x14ac:dyDescent="0.2">
      <c r="A289" s="1">
        <v>118</v>
      </c>
      <c r="B289" s="2" t="s">
        <v>151</v>
      </c>
      <c r="C289" s="2">
        <v>51.270139</v>
      </c>
      <c r="D289" s="2">
        <v>14.0948628</v>
      </c>
      <c r="E289" s="2" t="s">
        <v>19</v>
      </c>
      <c r="F289" s="2">
        <v>44.9</v>
      </c>
      <c r="G289" s="2">
        <v>50</v>
      </c>
      <c r="H289" s="2">
        <v>63.25</v>
      </c>
      <c r="I289" s="2">
        <v>56</v>
      </c>
      <c r="J289" s="2">
        <v>67.28</v>
      </c>
      <c r="K289" s="2">
        <v>58</v>
      </c>
      <c r="L289" s="2">
        <v>48.35</v>
      </c>
      <c r="M289" s="2">
        <v>52</v>
      </c>
      <c r="N289" s="2">
        <v>33.6</v>
      </c>
      <c r="O289" s="2">
        <v>39</v>
      </c>
      <c r="P289" s="2">
        <v>47.99</v>
      </c>
      <c r="Q289" s="2">
        <v>51</v>
      </c>
      <c r="R289" s="2">
        <f>SUM(F289,H289,J289,L289,N289,P289)</f>
        <v>305.37</v>
      </c>
      <c r="S289" s="3">
        <f>SUM(G289,I289,K289,M289,O289,Q289)</f>
        <v>306</v>
      </c>
      <c r="T289" s="7">
        <f>Tabelle2[[#This Row],[Robotron_Dauer]]*2+Tabelle2[[#This Row],[Schule_Dauer]]*5+Tabelle2[[#This Row],[Kletterarena_Dauer]]+Tabelle2[[#This Row],[Großeltern_Dauer]]</f>
        <v>493</v>
      </c>
    </row>
    <row r="290" spans="1:20" x14ac:dyDescent="0.2">
      <c r="A290" s="1">
        <v>268</v>
      </c>
      <c r="B290" s="2" t="s">
        <v>309</v>
      </c>
      <c r="C290" s="2">
        <v>51.283117900000001</v>
      </c>
      <c r="D290" s="2">
        <v>13.521277400000001</v>
      </c>
      <c r="E290" s="2" t="s">
        <v>19</v>
      </c>
      <c r="F290" s="2">
        <v>35.43</v>
      </c>
      <c r="G290" s="2">
        <v>48</v>
      </c>
      <c r="H290" s="2">
        <v>55.11</v>
      </c>
      <c r="I290" s="2">
        <v>55</v>
      </c>
      <c r="J290" s="2">
        <v>59.14</v>
      </c>
      <c r="K290" s="2">
        <v>56</v>
      </c>
      <c r="L290" s="2">
        <v>40.21</v>
      </c>
      <c r="M290" s="2">
        <v>51</v>
      </c>
      <c r="N290" s="2">
        <v>62.29</v>
      </c>
      <c r="O290" s="2">
        <v>57</v>
      </c>
      <c r="P290" s="2">
        <v>35.47</v>
      </c>
      <c r="Q290" s="2">
        <v>50</v>
      </c>
      <c r="R290" s="2">
        <f>SUM(F290,H290,J290,L290,N290,P290)</f>
        <v>287.64999999999998</v>
      </c>
      <c r="S290" s="3">
        <f>SUM(G290,I290,K290,M290,O290,Q290)</f>
        <v>317</v>
      </c>
      <c r="T290" s="7">
        <f>Tabelle2[[#This Row],[Robotron_Dauer]]*2+Tabelle2[[#This Row],[Schule_Dauer]]*5+Tabelle2[[#This Row],[Kletterarena_Dauer]]+Tabelle2[[#This Row],[Großeltern_Dauer]]</f>
        <v>498</v>
      </c>
    </row>
    <row r="291" spans="1:20" x14ac:dyDescent="0.2">
      <c r="A291" s="1">
        <v>274</v>
      </c>
      <c r="B291" s="2" t="s">
        <v>315</v>
      </c>
      <c r="C291" s="2">
        <v>51.2275475</v>
      </c>
      <c r="D291" s="2">
        <v>13.4340096</v>
      </c>
      <c r="E291" s="2" t="s">
        <v>19</v>
      </c>
      <c r="F291" s="2">
        <v>39.64</v>
      </c>
      <c r="G291" s="2">
        <v>53</v>
      </c>
      <c r="H291" s="2">
        <v>45.89</v>
      </c>
      <c r="I291" s="2">
        <v>57</v>
      </c>
      <c r="J291" s="2">
        <v>49.92</v>
      </c>
      <c r="K291" s="2">
        <v>59</v>
      </c>
      <c r="L291" s="2">
        <v>44.41</v>
      </c>
      <c r="M291" s="2">
        <v>56</v>
      </c>
      <c r="N291" s="2">
        <v>66.489999999999995</v>
      </c>
      <c r="O291" s="2">
        <v>63</v>
      </c>
      <c r="P291" s="2">
        <v>39.67</v>
      </c>
      <c r="Q291" s="2">
        <v>55</v>
      </c>
      <c r="R291" s="2">
        <f>SUM(F291,H291,J291,L291,N291,P291)</f>
        <v>286.02</v>
      </c>
      <c r="S291" s="3">
        <f>SUM(G291,I291,K291,M291,O291,Q291)</f>
        <v>343</v>
      </c>
      <c r="T291" s="7">
        <f>Tabelle2[[#This Row],[Robotron_Dauer]]*2+Tabelle2[[#This Row],[Schule_Dauer]]*5+Tabelle2[[#This Row],[Kletterarena_Dauer]]+Tabelle2[[#This Row],[Großeltern_Dauer]]</f>
        <v>528</v>
      </c>
    </row>
  </sheetData>
  <conditionalFormatting sqref="T1:T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Fuchs</cp:lastModifiedBy>
  <dcterms:created xsi:type="dcterms:W3CDTF">2025-01-22T19:31:54Z</dcterms:created>
  <dcterms:modified xsi:type="dcterms:W3CDTF">2025-03-14T14:08:29Z</dcterms:modified>
</cp:coreProperties>
</file>